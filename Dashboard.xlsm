
<file path=[Content_Types].xml><?xml version="1.0" encoding="utf-8"?>
<Types xmlns="http://schemas.openxmlformats.org/package/2006/content-type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0.xml" ContentType="application/vnd.openxmlformats-officedocument.spreadsheetml.pivot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workbookPr codeName="ThisWorkbook" hidePivotFieldList="1" defaultThemeVersion="166925"/>
  <mc:AlternateContent xmlns:mc="http://schemas.openxmlformats.org/markup-compatibility/2006">
    <mc:Choice Requires="x15">
      <x15ac:absPath xmlns:x15ac="http://schemas.microsoft.com/office/spreadsheetml/2010/11/ac" url="C:\Users\HP\OneDrive\Documents\Desktop\Analyst\"/>
    </mc:Choice>
  </mc:AlternateContent>
  <xr:revisionPtr revIDLastSave="0" documentId="13_ncr:1_{6E03BB67-4BA8-4BF3-8B80-8204A7CF9F95}" xr6:coauthVersionLast="47" xr6:coauthVersionMax="47" xr10:uidLastSave="{00000000-0000-0000-0000-000000000000}"/>
  <bookViews>
    <workbookView xWindow="-108" yWindow="-108" windowWidth="23256" windowHeight="12456" tabRatio="761" activeTab="1" xr2:uid="{85930AD5-EFBC-470E-B186-B88012ADE4C5}"/>
  </bookViews>
  <sheets>
    <sheet name="Dashboard" sheetId="19" r:id="rId1"/>
    <sheet name="Raw Data" sheetId="18" r:id="rId2"/>
    <sheet name="Sheet1" sheetId="1" r:id="rId3"/>
    <sheet name="Sheet2" sheetId="2" r:id="rId4"/>
    <sheet name="Sheet3" sheetId="3" r:id="rId5"/>
    <sheet name="Sheet4" sheetId="4" r:id="rId6"/>
    <sheet name="Sheet6" sheetId="6" r:id="rId7"/>
    <sheet name="Sheet7" sheetId="8" r:id="rId8"/>
    <sheet name="Sheet8" sheetId="9" r:id="rId9"/>
    <sheet name="Sheet9" sheetId="10" r:id="rId10"/>
    <sheet name="Electronics" sheetId="16" r:id="rId11"/>
    <sheet name="Furniture" sheetId="15" r:id="rId12"/>
    <sheet name="Groceries" sheetId="14" r:id="rId13"/>
    <sheet name="Stationery" sheetId="13" r:id="rId14"/>
    <sheet name="Sheet11" sheetId="12" r:id="rId15"/>
    <sheet name="Sheet16" sheetId="17" r:id="rId16"/>
    <sheet name="Sheet10" sheetId="11" r:id="rId17"/>
  </sheets>
  <definedNames>
    <definedName name="_xlnm._FilterDatabase" localSheetId="2" hidden="1">Sheet1!$A$8:$E$12</definedName>
    <definedName name="_xlnm._FilterDatabase" localSheetId="3" hidden="1">Sheet2!$A$1:$C$5</definedName>
    <definedName name="employee_type">Sheet4!$H$2:$I$8</definedName>
    <definedName name="Slicer_Region">#N/A</definedName>
    <definedName name="Slicer_State">#N/A</definedName>
  </definedNames>
  <calcPr calcId="191029"/>
  <pivotCaches>
    <pivotCache cacheId="0" r:id="rId18"/>
    <pivotCache cacheId="1" r:id="rId19"/>
  </pivotCaches>
  <extLst>
    <ext xmlns:x14="http://schemas.microsoft.com/office/spreadsheetml/2009/9/main" uri="{BBE1A952-AA13-448e-AADC-164F8A28A991}">
      <x14:slicerCaches>
        <x14:slicerCache r:id="rId20"/>
        <x14:slicerCache r:id="rId2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5" i="10" l="1"/>
  <c r="M13" i="10"/>
  <c r="P3" i="10"/>
  <c r="P4" i="10"/>
  <c r="P5" i="10"/>
  <c r="P6" i="10"/>
  <c r="P2" i="10"/>
  <c r="F3" i="10"/>
  <c r="G3" i="10"/>
  <c r="G4" i="10"/>
  <c r="G5" i="10"/>
  <c r="G6" i="10"/>
  <c r="G2" i="10"/>
  <c r="X3" i="9"/>
  <c r="X4" i="9"/>
  <c r="X5" i="9"/>
  <c r="X6" i="9"/>
  <c r="X7" i="9"/>
  <c r="X8" i="9"/>
  <c r="X9" i="9"/>
  <c r="X10" i="9"/>
  <c r="X11" i="9"/>
  <c r="X12" i="9"/>
  <c r="X13" i="9"/>
  <c r="X14" i="9"/>
  <c r="X15" i="9"/>
  <c r="X16" i="9"/>
  <c r="X2" i="9"/>
  <c r="T38" i="9"/>
  <c r="T39" i="9"/>
  <c r="T40" i="9"/>
  <c r="T41" i="9"/>
  <c r="T42" i="9"/>
  <c r="T43" i="9"/>
  <c r="T44" i="9"/>
  <c r="T45" i="9"/>
  <c r="T46" i="9"/>
  <c r="U38" i="9"/>
  <c r="U39" i="9"/>
  <c r="U40" i="9"/>
  <c r="U41" i="9"/>
  <c r="U42" i="9"/>
  <c r="U43" i="9"/>
  <c r="U44" i="9"/>
  <c r="U45" i="9"/>
  <c r="U46" i="9"/>
  <c r="V38" i="9"/>
  <c r="V39" i="9"/>
  <c r="V40" i="9"/>
  <c r="V41" i="9"/>
  <c r="V42" i="9"/>
  <c r="V43" i="9"/>
  <c r="V44" i="9"/>
  <c r="V45" i="9"/>
  <c r="V46" i="9"/>
  <c r="S30" i="9"/>
  <c r="T30" i="9"/>
  <c r="U30" i="9"/>
  <c r="V30" i="9"/>
  <c r="S31" i="9"/>
  <c r="T31" i="9"/>
  <c r="U31" i="9"/>
  <c r="V31" i="9"/>
  <c r="S32" i="9"/>
  <c r="T32" i="9"/>
  <c r="U32" i="9"/>
  <c r="V32" i="9"/>
  <c r="S33" i="9"/>
  <c r="T33" i="9"/>
  <c r="U33" i="9"/>
  <c r="V33" i="9"/>
  <c r="S34" i="9"/>
  <c r="T34" i="9"/>
  <c r="U34" i="9"/>
  <c r="V34" i="9"/>
  <c r="S35" i="9"/>
  <c r="T35" i="9"/>
  <c r="U35" i="9"/>
  <c r="V35" i="9"/>
  <c r="S36" i="9"/>
  <c r="T36" i="9"/>
  <c r="U36" i="9"/>
  <c r="V36" i="9"/>
  <c r="S37" i="9"/>
  <c r="T37" i="9"/>
  <c r="U37" i="9"/>
  <c r="V37" i="9"/>
  <c r="S28" i="9"/>
  <c r="T28" i="9"/>
  <c r="U28" i="9"/>
  <c r="V28" i="9"/>
  <c r="S29" i="9"/>
  <c r="T29" i="9"/>
  <c r="U29" i="9"/>
  <c r="V29" i="9"/>
  <c r="T27" i="9"/>
  <c r="U27" i="9"/>
  <c r="V27" i="9"/>
  <c r="S38" i="9"/>
  <c r="S39" i="9"/>
  <c r="S40" i="9"/>
  <c r="S41" i="9"/>
  <c r="S42" i="9"/>
  <c r="S43" i="9"/>
  <c r="S44" i="9"/>
  <c r="S45" i="9"/>
  <c r="S46" i="9"/>
  <c r="S27" i="9"/>
  <c r="S19" i="9"/>
  <c r="S20" i="9"/>
  <c r="S21" i="9"/>
  <c r="S22" i="9"/>
  <c r="S18" i="9"/>
  <c r="P21" i="9"/>
  <c r="P22" i="9"/>
  <c r="P23" i="9"/>
  <c r="P24" i="9"/>
  <c r="P25" i="9"/>
  <c r="P26" i="9"/>
  <c r="P27" i="9"/>
  <c r="P28" i="9"/>
  <c r="P29" i="9"/>
  <c r="P30" i="9"/>
  <c r="P31" i="9"/>
  <c r="P32" i="9"/>
  <c r="P33" i="9"/>
  <c r="P34" i="9"/>
  <c r="P35" i="9"/>
  <c r="P36" i="9"/>
  <c r="P37" i="9"/>
  <c r="P38" i="9"/>
  <c r="P39" i="9"/>
  <c r="O21" i="9"/>
  <c r="O22" i="9"/>
  <c r="O23" i="9"/>
  <c r="O24" i="9"/>
  <c r="O25" i="9"/>
  <c r="O26" i="9"/>
  <c r="O27" i="9"/>
  <c r="O28" i="9"/>
  <c r="O29" i="9"/>
  <c r="O30" i="9"/>
  <c r="O31" i="9"/>
  <c r="O32" i="9"/>
  <c r="O33" i="9"/>
  <c r="O34" i="9"/>
  <c r="O35" i="9"/>
  <c r="O36" i="9"/>
  <c r="O37" i="9"/>
  <c r="O38" i="9"/>
  <c r="O39" i="9"/>
  <c r="O20" i="9"/>
  <c r="P20" i="9"/>
  <c r="N21" i="9"/>
  <c r="N22" i="9"/>
  <c r="N23" i="9"/>
  <c r="N24" i="9"/>
  <c r="N25" i="9"/>
  <c r="N26" i="9"/>
  <c r="N27" i="9"/>
  <c r="N28" i="9"/>
  <c r="N29" i="9"/>
  <c r="N30" i="9"/>
  <c r="N31" i="9"/>
  <c r="N32" i="9"/>
  <c r="N33" i="9"/>
  <c r="N34" i="9"/>
  <c r="N35" i="9"/>
  <c r="N36" i="9"/>
  <c r="N37" i="9"/>
  <c r="N38" i="9"/>
  <c r="N39" i="9"/>
  <c r="N20" i="9"/>
  <c r="T3" i="9"/>
  <c r="T4" i="9"/>
  <c r="T2" i="9"/>
  <c r="S2" i="9"/>
  <c r="S3" i="9"/>
  <c r="S4" i="9"/>
  <c r="Q10" i="9"/>
  <c r="Q11" i="9"/>
  <c r="Q12" i="9"/>
  <c r="Q13" i="9"/>
  <c r="P10" i="9"/>
  <c r="P11" i="9"/>
  <c r="P12" i="9"/>
  <c r="P13" i="9"/>
  <c r="O10" i="9"/>
  <c r="O11" i="9"/>
  <c r="O12" i="9"/>
  <c r="O13" i="9"/>
  <c r="N10" i="9"/>
  <c r="N11" i="9"/>
  <c r="N12" i="9"/>
  <c r="N13" i="9"/>
  <c r="N9" i="9"/>
  <c r="O9" i="9"/>
  <c r="P9" i="9"/>
  <c r="Q9" i="9"/>
  <c r="M10" i="9"/>
  <c r="M11" i="9"/>
  <c r="M12" i="9"/>
  <c r="M13" i="9"/>
  <c r="M9" i="9"/>
  <c r="M3" i="9"/>
  <c r="M4" i="9"/>
  <c r="M5" i="9"/>
  <c r="M6" i="9"/>
  <c r="M2" i="9"/>
  <c r="B17" i="8"/>
  <c r="B18" i="8"/>
  <c r="I5" i="6"/>
  <c r="I4" i="6"/>
  <c r="G8" i="6"/>
  <c r="F3" i="4"/>
  <c r="F4" i="4"/>
  <c r="F5" i="4"/>
  <c r="F6" i="4"/>
  <c r="F7" i="4"/>
  <c r="F8" i="4"/>
  <c r="F9" i="4"/>
  <c r="F10" i="4"/>
  <c r="F11" i="4"/>
  <c r="F12" i="4"/>
  <c r="F13" i="4"/>
  <c r="F2" i="4"/>
  <c r="H5" i="3"/>
  <c r="H4" i="3"/>
  <c r="H6" i="3"/>
  <c r="H3" i="3"/>
  <c r="I18" i="1"/>
  <c r="I19" i="1"/>
  <c r="I20" i="1"/>
  <c r="I21" i="1"/>
  <c r="I17" i="1"/>
  <c r="I23" i="1"/>
  <c r="E29" i="1"/>
  <c r="H21" i="1"/>
  <c r="H18" i="1"/>
  <c r="H19" i="1"/>
  <c r="H20" i="1"/>
  <c r="H17" i="1"/>
  <c r="J17" i="1"/>
  <c r="E26" i="1"/>
  <c r="E27" i="1"/>
  <c r="E28" i="1"/>
  <c r="E25" i="1"/>
  <c r="D18" i="1"/>
  <c r="D19" i="1"/>
  <c r="D20" i="1"/>
  <c r="D21" i="1"/>
  <c r="D17" i="1"/>
  <c r="I10" i="1"/>
  <c r="I11" i="1"/>
  <c r="I12" i="1"/>
  <c r="I9" i="1"/>
  <c r="J10" i="1"/>
  <c r="J11" i="1"/>
  <c r="J12" i="1"/>
  <c r="J9" i="1"/>
  <c r="F10" i="1"/>
  <c r="F11" i="1"/>
  <c r="F12" i="1"/>
  <c r="F9" i="1"/>
  <c r="D13" i="1"/>
  <c r="C13" i="1"/>
  <c r="B14" i="8" l="1" a="1"/>
  <c r="B14" i="8"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<sst xmlns="http://schemas.openxmlformats.org/spreadsheetml/2006/main" count="14625" uniqueCount="856">
  <si>
    <t>Store ID</t>
  </si>
  <si>
    <t>Region</t>
  </si>
  <si>
    <t>Total Revenue</t>
  </si>
  <si>
    <t>Q4 Growth</t>
  </si>
  <si>
    <t>Launch Date</t>
  </si>
  <si>
    <t>North</t>
  </si>
  <si>
    <t>West</t>
  </si>
  <si>
    <t>East</t>
  </si>
  <si>
    <t>South</t>
  </si>
  <si>
    <t>Priya</t>
  </si>
  <si>
    <t>Amit</t>
  </si>
  <si>
    <t>Rahul</t>
  </si>
  <si>
    <t>Sarah</t>
  </si>
  <si>
    <t>Manager</t>
  </si>
  <si>
    <t>ID Map</t>
  </si>
  <si>
    <t>Operating Cost</t>
  </si>
  <si>
    <t>Footfall</t>
  </si>
  <si>
    <t>X-Manager</t>
  </si>
  <si>
    <t>Transaction ID</t>
  </si>
  <si>
    <t>Units Sold</t>
  </si>
  <si>
    <t>TXN-001</t>
  </si>
  <si>
    <t>TXN-002</t>
  </si>
  <si>
    <t>TXN-003</t>
  </si>
  <si>
    <t>TXN-004</t>
  </si>
  <si>
    <t>TXN-005</t>
  </si>
  <si>
    <t>Mstr ID</t>
  </si>
  <si>
    <t>Location Code</t>
  </si>
  <si>
    <t>Target Achieved</t>
  </si>
  <si>
    <t>LOC-North</t>
  </si>
  <si>
    <t>Yes</t>
  </si>
  <si>
    <t>LOC-West</t>
  </si>
  <si>
    <t>LOC-East</t>
  </si>
  <si>
    <t>No</t>
  </si>
  <si>
    <t>LOC-South</t>
  </si>
  <si>
    <t>Location</t>
  </si>
  <si>
    <t>V-Target</t>
  </si>
  <si>
    <t>Index-Target</t>
  </si>
  <si>
    <t>Employee ID</t>
  </si>
  <si>
    <t>Name</t>
  </si>
  <si>
    <t>Department</t>
  </si>
  <si>
    <t>Salary</t>
  </si>
  <si>
    <t>Joining Date</t>
  </si>
  <si>
    <t>EMP001</t>
  </si>
  <si>
    <t>Employee_1</t>
  </si>
  <si>
    <t>Finance</t>
  </si>
  <si>
    <t>EMP002</t>
  </si>
  <si>
    <t>Employee_2</t>
  </si>
  <si>
    <t>Operations</t>
  </si>
  <si>
    <t>EMP003</t>
  </si>
  <si>
    <t>Employee_3</t>
  </si>
  <si>
    <t>Sales</t>
  </si>
  <si>
    <t>EMP004</t>
  </si>
  <si>
    <t>Employee_4</t>
  </si>
  <si>
    <t>EMP005</t>
  </si>
  <si>
    <t>Employee_5</t>
  </si>
  <si>
    <t>EMP006</t>
  </si>
  <si>
    <t>EMP007</t>
  </si>
  <si>
    <t>Employee_7</t>
  </si>
  <si>
    <t>EMP008</t>
  </si>
  <si>
    <t>Employee_8</t>
  </si>
  <si>
    <t>EMP009</t>
  </si>
  <si>
    <t>Employee_9</t>
  </si>
  <si>
    <t>EMP010</t>
  </si>
  <si>
    <t>Employee_10</t>
  </si>
  <si>
    <t>EMP011</t>
  </si>
  <si>
    <t>Employee_11</t>
  </si>
  <si>
    <t>EMP012</t>
  </si>
  <si>
    <t>Employee_12</t>
  </si>
  <si>
    <t>emp002</t>
  </si>
  <si>
    <t>emp_type</t>
  </si>
  <si>
    <t>Greater than</t>
  </si>
  <si>
    <t>Grade5</t>
  </si>
  <si>
    <t>Emp_type</t>
  </si>
  <si>
    <t>Grade4</t>
  </si>
  <si>
    <t>Grade6</t>
  </si>
  <si>
    <t>Grade1</t>
  </si>
  <si>
    <t>Grade3</t>
  </si>
  <si>
    <t>Grade2</t>
  </si>
  <si>
    <t>Class/Subjects</t>
  </si>
  <si>
    <t>8:00 AM - 8:45 AM</t>
  </si>
  <si>
    <t>8:45 AM - 9:30 AM</t>
  </si>
  <si>
    <t>9:30 AM - 10:15 AM</t>
  </si>
  <si>
    <t>10:15 AM - 11:00 AM</t>
  </si>
  <si>
    <t>11:00 AM - 11:15 AM (Break)</t>
  </si>
  <si>
    <t>11:15 AM - 12:00 PM</t>
  </si>
  <si>
    <t>12:00 PM - 12:45 PM</t>
  </si>
  <si>
    <t>12:45 PM - 1:30 PM</t>
  </si>
  <si>
    <t>1:30 PM - 2:15 PM</t>
  </si>
  <si>
    <t>Mathematics</t>
  </si>
  <si>
    <t>Mathematics (Ms. Johnson)</t>
  </si>
  <si>
    <t>Mathematics (Mr. Smith)</t>
  </si>
  <si>
    <t>Mathematics (Mrs. Lee)</t>
  </si>
  <si>
    <t>Mathematics (Mr. Brown)</t>
  </si>
  <si>
    <t>Break</t>
  </si>
  <si>
    <t>Mathematics (Mr. Wilson)</t>
  </si>
  <si>
    <t>Mathematics (Ms. Taylor)</t>
  </si>
  <si>
    <t>Mathematics (Mr. White)</t>
  </si>
  <si>
    <t>Science</t>
  </si>
  <si>
    <t>Science (Mr. Smith)</t>
  </si>
  <si>
    <t>Science (Mrs. Lee)</t>
  </si>
  <si>
    <t>Science (Mr. Brown)</t>
  </si>
  <si>
    <t>Science (Ms. Davis)</t>
  </si>
  <si>
    <t>Science (Ms. Taylor)</t>
  </si>
  <si>
    <t>Science (Mr. White)</t>
  </si>
  <si>
    <t>Science (Ms. Johnson)</t>
  </si>
  <si>
    <t>English</t>
  </si>
  <si>
    <t>English (Mrs. Lee)</t>
  </si>
  <si>
    <t>English (Mr. Brown)</t>
  </si>
  <si>
    <t>English (Ms. Davis)</t>
  </si>
  <si>
    <t>English (Mr. Wilson)</t>
  </si>
  <si>
    <t>English (Mr. White)</t>
  </si>
  <si>
    <t>English (Ms. Johnson)</t>
  </si>
  <si>
    <t>English (Mr. Smith)</t>
  </si>
  <si>
    <t>History</t>
  </si>
  <si>
    <t>History (Mr. Brown)</t>
  </si>
  <si>
    <t>History (Ms. Davis)</t>
  </si>
  <si>
    <t>History (Mr. Wilson)</t>
  </si>
  <si>
    <t>History (Ms. Taylor)</t>
  </si>
  <si>
    <t>History (Ms. Johnson)</t>
  </si>
  <si>
    <t>History (Mr. Smith)</t>
  </si>
  <si>
    <t>History (Mrs. Lee)</t>
  </si>
  <si>
    <t>Geography</t>
  </si>
  <si>
    <t>Geography (Ms. Davis)</t>
  </si>
  <si>
    <t>Geography (Mr. Wilson)</t>
  </si>
  <si>
    <t>Geography (Ms. Taylor)</t>
  </si>
  <si>
    <t>Geography (Mr. White)</t>
  </si>
  <si>
    <t>Geography (Mr. Smith)</t>
  </si>
  <si>
    <t>Geography (Mrs. Lee)</t>
  </si>
  <si>
    <t>Geography (Mr. Brown)</t>
  </si>
  <si>
    <t>Physical Education</t>
  </si>
  <si>
    <t>Physical Education (Mr. Wilson)</t>
  </si>
  <si>
    <t>Physical Education (Ms. Taylor)</t>
  </si>
  <si>
    <t>Physical Education (Mr. White)</t>
  </si>
  <si>
    <t>Physical Education (Ms. Johnson)</t>
  </si>
  <si>
    <t>Physical Education (Mrs. Lee)</t>
  </si>
  <si>
    <t>Physical Education (Mr. Brown)</t>
  </si>
  <si>
    <t>Physical Education (Ms. Davis)</t>
  </si>
  <si>
    <t>Art</t>
  </si>
  <si>
    <t>Art (Ms. Taylor)</t>
  </si>
  <si>
    <t>Art (Mr. White)</t>
  </si>
  <si>
    <t>Art (Ms. Johnson)</t>
  </si>
  <si>
    <t>Art (Mr. Smith)</t>
  </si>
  <si>
    <t>Art (Mr. Brown)</t>
  </si>
  <si>
    <t>Art (Ms. Davis)</t>
  </si>
  <si>
    <t>Art (Mr. Wilson)</t>
  </si>
  <si>
    <t>Computer Science</t>
  </si>
  <si>
    <t>Computer Science (Mr. White)</t>
  </si>
  <si>
    <t>Computer Science (Ms. Johnson)</t>
  </si>
  <si>
    <t>Computer Science (Mr. Smith)</t>
  </si>
  <si>
    <t>Computer Science (Mrs. Lee)</t>
  </si>
  <si>
    <t>Computer Science (Ms. Davis)</t>
  </si>
  <si>
    <t>Computer Science (Mr. Wilson)</t>
  </si>
  <si>
    <t>Computer Science (Ms. Taylor)</t>
  </si>
  <si>
    <t>Row</t>
  </si>
  <si>
    <t>column</t>
  </si>
  <si>
    <t>Messy Name</t>
  </si>
  <si>
    <t xml:space="preserve">  rahul sHarma  </t>
  </si>
  <si>
    <t>PRIYA SINGH</t>
  </si>
  <si>
    <t xml:space="preserve">amit kumar   </t>
  </si>
  <si>
    <t xml:space="preserve"> sArAh jOnEs</t>
  </si>
  <si>
    <t>Clean Name</t>
  </si>
  <si>
    <t>First Name</t>
  </si>
  <si>
    <t>Last Name</t>
  </si>
  <si>
    <t>Product_ID</t>
  </si>
  <si>
    <t>Product_Name</t>
  </si>
  <si>
    <t>Category</t>
  </si>
  <si>
    <t>Length</t>
  </si>
  <si>
    <t>Remove Space</t>
  </si>
  <si>
    <t>Length2</t>
  </si>
  <si>
    <t>Price</t>
  </si>
  <si>
    <t>Quantity_Available</t>
  </si>
  <si>
    <t>Rating</t>
  </si>
  <si>
    <t>Seller</t>
  </si>
  <si>
    <t>Apple iPhone 14</t>
  </si>
  <si>
    <t>Mobile</t>
  </si>
  <si>
    <t>Tech World</t>
  </si>
  <si>
    <t>Samsung Galaxy S23</t>
  </si>
  <si>
    <t>Gadget Hub</t>
  </si>
  <si>
    <t>Sony WH-1000XM5</t>
  </si>
  <si>
    <t>Headphones</t>
  </si>
  <si>
    <t>Sound Pro</t>
  </si>
  <si>
    <t>Dell XPS 13</t>
  </si>
  <si>
    <t>Laptop</t>
  </si>
  <si>
    <t>Laptop Store</t>
  </si>
  <si>
    <t>HP Spectre x360</t>
  </si>
  <si>
    <t>HP Store</t>
  </si>
  <si>
    <t>Bose QuietComfort 45</t>
  </si>
  <si>
    <t>Lenovo ThinkPad X1</t>
  </si>
  <si>
    <t>     Material      </t>
  </si>
  <si>
    <t>WH1881NL01         </t>
  </si>
  <si>
    <t>WH10017QM01        </t>
  </si>
  <si>
    <t>WH10017SL01        </t>
  </si>
  <si>
    <t>WH1043NM01         </t>
  </si>
  <si>
    <t>WH1043YL05         </t>
  </si>
  <si>
    <t>WH1043YM01         </t>
  </si>
  <si>
    <t>WH1044YM07         </t>
  </si>
  <si>
    <t>WH15952655WL01     </t>
  </si>
  <si>
    <t>WH1595NL01         </t>
  </si>
  <si>
    <t>WH1595NM01         </t>
  </si>
  <si>
    <t>WH1595SL03         </t>
  </si>
  <si>
    <t>WH1595SL06         </t>
  </si>
  <si>
    <t>WH1595SL505        </t>
  </si>
  <si>
    <t>WH1595WL01         </t>
  </si>
  <si>
    <t>WH1595WL09         </t>
  </si>
  <si>
    <t>WH1595WM01         </t>
  </si>
  <si>
    <t>WH1596NL01         </t>
  </si>
  <si>
    <t>WH1843NM01         </t>
  </si>
  <si>
    <t>WH1843QM02         </t>
  </si>
  <si>
    <t>WH1843WL01         </t>
  </si>
  <si>
    <t>WH2654WM01         </t>
  </si>
  <si>
    <t>Correct Material</t>
  </si>
  <si>
    <t>new len</t>
  </si>
  <si>
    <t>Rahul Sharma</t>
  </si>
  <si>
    <t>Priya Singh</t>
  </si>
  <si>
    <t>Amit Kumar</t>
  </si>
  <si>
    <t>Sarah Jones</t>
  </si>
  <si>
    <t>Sharma</t>
  </si>
  <si>
    <t>Singh</t>
  </si>
  <si>
    <t>Kumar</t>
  </si>
  <si>
    <t>Jones</t>
  </si>
  <si>
    <t>Sale Date</t>
  </si>
  <si>
    <t>Customer Name</t>
  </si>
  <si>
    <t>City</t>
  </si>
  <si>
    <t>State</t>
  </si>
  <si>
    <t>Product Category</t>
  </si>
  <si>
    <t>Product Name</t>
  </si>
  <si>
    <t>Quantity</t>
  </si>
  <si>
    <t>Price per Unit</t>
  </si>
  <si>
    <t>Sales Amount</t>
  </si>
  <si>
    <t>6/25/2023</t>
  </si>
  <si>
    <t>Meera</t>
  </si>
  <si>
    <t>Nagpur</t>
  </si>
  <si>
    <t>Maharashtra</t>
  </si>
  <si>
    <t>Furniture</t>
  </si>
  <si>
    <t>Table</t>
  </si>
  <si>
    <t>Vihaan</t>
  </si>
  <si>
    <t>Coimbatore</t>
  </si>
  <si>
    <t>Tamil Nadu</t>
  </si>
  <si>
    <t>Stationery</t>
  </si>
  <si>
    <t>Ruler</t>
  </si>
  <si>
    <t>Nishant</t>
  </si>
  <si>
    <t>Bengaluru</t>
  </si>
  <si>
    <t>Karnataka</t>
  </si>
  <si>
    <t>10/15/2023</t>
  </si>
  <si>
    <t>Madurai</t>
  </si>
  <si>
    <t>Clothing</t>
  </si>
  <si>
    <t>Dress</t>
  </si>
  <si>
    <t>Gujarat</t>
  </si>
  <si>
    <t>Aditi</t>
  </si>
  <si>
    <t>Mumbai</t>
  </si>
  <si>
    <t>Groceries</t>
  </si>
  <si>
    <t>Lentils</t>
  </si>
  <si>
    <t>Delhi</t>
  </si>
  <si>
    <t>12/23/2023</t>
  </si>
  <si>
    <t>Ishita</t>
  </si>
  <si>
    <t>Chennai</t>
  </si>
  <si>
    <t>Eraser</t>
  </si>
  <si>
    <t>Aarav</t>
  </si>
  <si>
    <t>Mysuru</t>
  </si>
  <si>
    <t>Electronics</t>
  </si>
  <si>
    <t>Riya</t>
  </si>
  <si>
    <t>Ahmedabad</t>
  </si>
  <si>
    <t>10/23/2023</t>
  </si>
  <si>
    <t>11/17/2023</t>
  </si>
  <si>
    <t>2/15/2023</t>
  </si>
  <si>
    <t>4/21/2023</t>
  </si>
  <si>
    <t>Pants</t>
  </si>
  <si>
    <t>1/26/2023</t>
  </si>
  <si>
    <t>Aryan</t>
  </si>
  <si>
    <t>Shirt</t>
  </si>
  <si>
    <t>5/27/2023</t>
  </si>
  <si>
    <t>Ananya</t>
  </si>
  <si>
    <t>11/28/2023</t>
  </si>
  <si>
    <t>Dwarka</t>
  </si>
  <si>
    <t>Pune</t>
  </si>
  <si>
    <t>2/24/2023</t>
  </si>
  <si>
    <t>Surat</t>
  </si>
  <si>
    <t>Rice</t>
  </si>
  <si>
    <t>2/17/2023</t>
  </si>
  <si>
    <t>2/19/2023</t>
  </si>
  <si>
    <t>Kabir</t>
  </si>
  <si>
    <t>Karol Bagh</t>
  </si>
  <si>
    <t>4/28/2023</t>
  </si>
  <si>
    <t>Hubli</t>
  </si>
  <si>
    <t>Sugar</t>
  </si>
  <si>
    <t>6/24/2023</t>
  </si>
  <si>
    <t>3/27/2023</t>
  </si>
  <si>
    <t>Bed</t>
  </si>
  <si>
    <t>12/17/2023</t>
  </si>
  <si>
    <t>7/21/2023</t>
  </si>
  <si>
    <t>8/29/2023</t>
  </si>
  <si>
    <t>1/13/2023</t>
  </si>
  <si>
    <t>6/20/2023</t>
  </si>
  <si>
    <t>Oil</t>
  </si>
  <si>
    <t>11/30/2023</t>
  </si>
  <si>
    <t>Jacket</t>
  </si>
  <si>
    <t>Pen</t>
  </si>
  <si>
    <t>1/24/2023</t>
  </si>
  <si>
    <t>Smartphone</t>
  </si>
  <si>
    <t>Tablet</t>
  </si>
  <si>
    <t>8/23/2023</t>
  </si>
  <si>
    <t>Sofa</t>
  </si>
  <si>
    <t>2/18/2023</t>
  </si>
  <si>
    <t>Notebook</t>
  </si>
  <si>
    <t>Chair</t>
  </si>
  <si>
    <t>3/31/2023</t>
  </si>
  <si>
    <t>4/15/2023</t>
  </si>
  <si>
    <t>12/28/2023</t>
  </si>
  <si>
    <t>4/19/2023</t>
  </si>
  <si>
    <t>9/21/2023</t>
  </si>
  <si>
    <t>10/21/2023</t>
  </si>
  <si>
    <t>4/26/2023</t>
  </si>
  <si>
    <t>1/16/2023</t>
  </si>
  <si>
    <t>New Delhi</t>
  </si>
  <si>
    <t>11/24/2023</t>
  </si>
  <si>
    <t>4/20/2023</t>
  </si>
  <si>
    <t>Vadodara</t>
  </si>
  <si>
    <t>10/29/2023</t>
  </si>
  <si>
    <t>5/26/2023</t>
  </si>
  <si>
    <t>12/26/2023</t>
  </si>
  <si>
    <t>4/25/2023</t>
  </si>
  <si>
    <t>4/27/2023</t>
  </si>
  <si>
    <t>6/26/2023</t>
  </si>
  <si>
    <t>6/18/2023</t>
  </si>
  <si>
    <t>3/18/2023</t>
  </si>
  <si>
    <t>10/30/2023</t>
  </si>
  <si>
    <t>8/25/2023</t>
  </si>
  <si>
    <t>9/15/2023</t>
  </si>
  <si>
    <t>7/19/2023</t>
  </si>
  <si>
    <t>5/17/2023</t>
  </si>
  <si>
    <t>6/30/2023</t>
  </si>
  <si>
    <t>11/29/2023</t>
  </si>
  <si>
    <t>3/13/2023</t>
  </si>
  <si>
    <t>10/22/2023</t>
  </si>
  <si>
    <t>3/29/2023</t>
  </si>
  <si>
    <t>7/15/2023</t>
  </si>
  <si>
    <t>6/13/2023</t>
  </si>
  <si>
    <t>1/20/2023</t>
  </si>
  <si>
    <t>5/16/2023</t>
  </si>
  <si>
    <t>1/18/2023</t>
  </si>
  <si>
    <t>5/29/2023</t>
  </si>
  <si>
    <t>3/24/2023</t>
  </si>
  <si>
    <t>11/14/2023</t>
  </si>
  <si>
    <t>5/31/2023</t>
  </si>
  <si>
    <t>6/21/2023</t>
  </si>
  <si>
    <t>1/30/2023</t>
  </si>
  <si>
    <t>2/26/2023</t>
  </si>
  <si>
    <t>12/15/2023</t>
  </si>
  <si>
    <t>9/23/2023</t>
  </si>
  <si>
    <t>3/14/2023</t>
  </si>
  <si>
    <t>9/25/2023</t>
  </si>
  <si>
    <t>5/14/2023</t>
  </si>
  <si>
    <t>7/22/2023</t>
  </si>
  <si>
    <t>11/18/2023</t>
  </si>
  <si>
    <t>4/13/2023</t>
  </si>
  <si>
    <t>10/31/2023</t>
  </si>
  <si>
    <t>3/26/2023</t>
  </si>
  <si>
    <t>3/20/2023</t>
  </si>
  <si>
    <t>1/19/2023</t>
  </si>
  <si>
    <t>2/14/2023</t>
  </si>
  <si>
    <t>11/25/2023</t>
  </si>
  <si>
    <t>5/30/2023</t>
  </si>
  <si>
    <t>10/28/2023</t>
  </si>
  <si>
    <t>3/15/2023</t>
  </si>
  <si>
    <t>7/14/2023</t>
  </si>
  <si>
    <t>10/25/2023</t>
  </si>
  <si>
    <t>10/19/2023</t>
  </si>
  <si>
    <t>4/29/2023</t>
  </si>
  <si>
    <t>11/13/2023</t>
  </si>
  <si>
    <t>11/26/2023</t>
  </si>
  <si>
    <t>6/27/2023</t>
  </si>
  <si>
    <t>7/29/2023</t>
  </si>
  <si>
    <t>10/18/2023</t>
  </si>
  <si>
    <t>9/18/2023</t>
  </si>
  <si>
    <t>1/25/2023</t>
  </si>
  <si>
    <t>3/22/2023</t>
  </si>
  <si>
    <t>1/17/2023</t>
  </si>
  <si>
    <t>12/19/2023</t>
  </si>
  <si>
    <t>7/17/2023</t>
  </si>
  <si>
    <t>3/17/2023</t>
  </si>
  <si>
    <t>8/19/2023</t>
  </si>
  <si>
    <t>8/16/2023</t>
  </si>
  <si>
    <t>2/13/2023</t>
  </si>
  <si>
    <t>9/16/2023</t>
  </si>
  <si>
    <t>12/25/2023</t>
  </si>
  <si>
    <t>6/22/2023</t>
  </si>
  <si>
    <t>3/30/2023</t>
  </si>
  <si>
    <t>5/22/2023</t>
  </si>
  <si>
    <t>2/20/2023</t>
  </si>
  <si>
    <t>11/27/2023</t>
  </si>
  <si>
    <t>5/23/2023</t>
  </si>
  <si>
    <t>7/30/2023</t>
  </si>
  <si>
    <t>5/18/2023</t>
  </si>
  <si>
    <t>8/14/2023</t>
  </si>
  <si>
    <t>10/13/2023</t>
  </si>
  <si>
    <t>6/15/2023</t>
  </si>
  <si>
    <t>8/30/2023</t>
  </si>
  <si>
    <t>1/22/2023</t>
  </si>
  <si>
    <t>9/13/2023</t>
  </si>
  <si>
    <t>5/21/2023</t>
  </si>
  <si>
    <t>12/14/2023</t>
  </si>
  <si>
    <t>12/24/2023</t>
  </si>
  <si>
    <t>10/26/2023</t>
  </si>
  <si>
    <t>5/24/2023</t>
  </si>
  <si>
    <t>1/21/2023</t>
  </si>
  <si>
    <t>1/27/2023</t>
  </si>
  <si>
    <t>4/22/2023</t>
  </si>
  <si>
    <t>4/30/2023</t>
  </si>
  <si>
    <t>12/31/2023</t>
  </si>
  <si>
    <t>8/20/2023</t>
  </si>
  <si>
    <t>5/25/2023</t>
  </si>
  <si>
    <t>9/17/2023</t>
  </si>
  <si>
    <t>10/17/2023</t>
  </si>
  <si>
    <t>4/17/2023</t>
  </si>
  <si>
    <t>10/20/2023</t>
  </si>
  <si>
    <t>7/13/2023</t>
  </si>
  <si>
    <t>12/20/2023</t>
  </si>
  <si>
    <t>2/22/2023</t>
  </si>
  <si>
    <t>6/16/2023</t>
  </si>
  <si>
    <t>8/22/2023</t>
  </si>
  <si>
    <t>6/29/2023</t>
  </si>
  <si>
    <t>9/27/2023</t>
  </si>
  <si>
    <t>4/16/2023</t>
  </si>
  <si>
    <t>8/26/2023</t>
  </si>
  <si>
    <t>6/23/2023</t>
  </si>
  <si>
    <t>5/15/2023</t>
  </si>
  <si>
    <t>12/21/2023</t>
  </si>
  <si>
    <t>10/16/2023</t>
  </si>
  <si>
    <t>6/28/2023</t>
  </si>
  <si>
    <t>1/23/2023</t>
  </si>
  <si>
    <t>10/24/2023</t>
  </si>
  <si>
    <t>10/14/2023</t>
  </si>
  <si>
    <t>1/14/2023</t>
  </si>
  <si>
    <t>9/20/2023</t>
  </si>
  <si>
    <t>12/16/2023</t>
  </si>
  <si>
    <t>1/15/2023</t>
  </si>
  <si>
    <t>7/27/2023</t>
  </si>
  <si>
    <t>6/14/2023</t>
  </si>
  <si>
    <t>7/16/2023</t>
  </si>
  <si>
    <t>9/26/2023</t>
  </si>
  <si>
    <t>4/18/2023</t>
  </si>
  <si>
    <t>2/21/2023</t>
  </si>
  <si>
    <t>11/21/2023</t>
  </si>
  <si>
    <t>11/16/2023</t>
  </si>
  <si>
    <t>8/15/2023</t>
  </si>
  <si>
    <t>9/14/2023</t>
  </si>
  <si>
    <t>8/27/2023</t>
  </si>
  <si>
    <t>2/28/2023</t>
  </si>
  <si>
    <t>12/13/2023</t>
  </si>
  <si>
    <t>7/31/2023</t>
  </si>
  <si>
    <t>5/19/2023</t>
  </si>
  <si>
    <t>9/28/2023</t>
  </si>
  <si>
    <t>2/23/2023</t>
  </si>
  <si>
    <t>6/19/2023</t>
  </si>
  <si>
    <t>7/18/2023</t>
  </si>
  <si>
    <t>7/24/2023</t>
  </si>
  <si>
    <t>7/25/2023</t>
  </si>
  <si>
    <t>11/19/2023</t>
  </si>
  <si>
    <t>5/20/2023</t>
  </si>
  <si>
    <t>1/31/2023</t>
  </si>
  <si>
    <t>3/19/2023</t>
  </si>
  <si>
    <t>9/19/2023</t>
  </si>
  <si>
    <t>12/22/2023</t>
  </si>
  <si>
    <t>8/28/2023</t>
  </si>
  <si>
    <t>2/16/2023</t>
  </si>
  <si>
    <t>3/21/2023</t>
  </si>
  <si>
    <t>12/30/2023</t>
  </si>
  <si>
    <t>4/14/2023</t>
  </si>
  <si>
    <t>4/24/2023</t>
  </si>
  <si>
    <t>9/30/2023</t>
  </si>
  <si>
    <t>8/31/2023</t>
  </si>
  <si>
    <t>9/24/2023</t>
  </si>
  <si>
    <t>9/29/2023</t>
  </si>
  <si>
    <t>3/16/2023</t>
  </si>
  <si>
    <t>2/27/2023</t>
  </si>
  <si>
    <t>8/13/2023</t>
  </si>
  <si>
    <t>1/28/2023</t>
  </si>
  <si>
    <t>12/29/2023</t>
  </si>
  <si>
    <t>3/28/2023</t>
  </si>
  <si>
    <t>8/21/2023</t>
  </si>
  <si>
    <t>11/20/2023</t>
  </si>
  <si>
    <t>11/15/2023</t>
  </si>
  <si>
    <t>5/13/2023</t>
  </si>
  <si>
    <t>7/20/2023</t>
  </si>
  <si>
    <t>11/22/2023</t>
  </si>
  <si>
    <t>6/17/2023</t>
  </si>
  <si>
    <t>7/23/2023</t>
  </si>
  <si>
    <t>7/28/2023</t>
  </si>
  <si>
    <t>11/23/2023</t>
  </si>
  <si>
    <t>8/18/2023</t>
  </si>
  <si>
    <t>3/23/2023</t>
  </si>
  <si>
    <t>8/24/2023</t>
  </si>
  <si>
    <t>7/26/2023</t>
  </si>
  <si>
    <t>3/25/2023</t>
  </si>
  <si>
    <t>Total quantity</t>
  </si>
  <si>
    <t>Product Name/State</t>
  </si>
  <si>
    <t>Project ID</t>
  </si>
  <si>
    <t>Start Date</t>
  </si>
  <si>
    <t>End Date</t>
  </si>
  <si>
    <t>Days Remaining</t>
  </si>
  <si>
    <t>P101</t>
  </si>
  <si>
    <t>3/31/2024</t>
  </si>
  <si>
    <t>P102</t>
  </si>
  <si>
    <t>5/30/2024</t>
  </si>
  <si>
    <t>P103</t>
  </si>
  <si>
    <t>6/15/2024</t>
  </si>
  <si>
    <t>P104</t>
  </si>
  <si>
    <t>7/25/2024</t>
  </si>
  <si>
    <t>P105</t>
  </si>
  <si>
    <t>1/31/2024</t>
  </si>
  <si>
    <t>2/29/2024</t>
  </si>
  <si>
    <t>4/30/2024</t>
  </si>
  <si>
    <t>5/31/2024</t>
  </si>
  <si>
    <t>Employee Name</t>
  </si>
  <si>
    <t>Date of Joining</t>
  </si>
  <si>
    <t>Date of Birth</t>
  </si>
  <si>
    <t>Age</t>
  </si>
  <si>
    <t>John Doe</t>
  </si>
  <si>
    <t>35 Years 11 Months 8 Days</t>
  </si>
  <si>
    <t>Jane Smith</t>
  </si>
  <si>
    <t>40 Years 6 Months 28 Days</t>
  </si>
  <si>
    <t>Robert Brown</t>
  </si>
  <si>
    <t>34 Years 1 Months 6 Days</t>
  </si>
  <si>
    <t>Emily Davis</t>
  </si>
  <si>
    <t>30 Years 8 Months 21 Days</t>
  </si>
  <si>
    <t>Michael Johnson</t>
  </si>
  <si>
    <t>38 Years 4 Months 2 Days</t>
  </si>
  <si>
    <t>12/30/2024</t>
  </si>
  <si>
    <t>Monday-December-2024</t>
  </si>
  <si>
    <t>Work Days</t>
  </si>
  <si>
    <t>Holidays</t>
  </si>
  <si>
    <t>12/25/2024</t>
  </si>
  <si>
    <t>12/13/2024</t>
  </si>
  <si>
    <t>12/14/2024</t>
  </si>
  <si>
    <t>12/15/2024</t>
  </si>
  <si>
    <t>12/16/2024</t>
  </si>
  <si>
    <t>12/17/2024</t>
  </si>
  <si>
    <t>12/18/2024</t>
  </si>
  <si>
    <t>12/19/2024</t>
  </si>
  <si>
    <t>12/20/2024</t>
  </si>
  <si>
    <t>12/21/2024</t>
  </si>
  <si>
    <t>12/22/2024</t>
  </si>
  <si>
    <t>12/23/2024</t>
  </si>
  <si>
    <t>12/24/2024</t>
  </si>
  <si>
    <t>12/26/2024</t>
  </si>
  <si>
    <t>12/27/2024</t>
  </si>
  <si>
    <t>12/28/2024</t>
  </si>
  <si>
    <t>12-31-2024</t>
  </si>
  <si>
    <t>12-30-2024</t>
  </si>
  <si>
    <t>12-29-2024</t>
  </si>
  <si>
    <t>Row Labels</t>
  </si>
  <si>
    <t>Grand Total</t>
  </si>
  <si>
    <t>Sum of Quantity</t>
  </si>
  <si>
    <t>Count of State</t>
  </si>
  <si>
    <t>(All)</t>
  </si>
  <si>
    <t>Average of Sales Amount</t>
  </si>
  <si>
    <t>Max of Quantity</t>
  </si>
  <si>
    <t xml:space="preserve"> </t>
  </si>
  <si>
    <t>Emp Code</t>
  </si>
  <si>
    <t>Sales Executive</t>
  </si>
  <si>
    <t>Day1</t>
  </si>
  <si>
    <t>Day2</t>
  </si>
  <si>
    <t>Day3</t>
  </si>
  <si>
    <t>Day4</t>
  </si>
  <si>
    <t>Day5</t>
  </si>
  <si>
    <t>Total Sales</t>
  </si>
  <si>
    <t>Target</t>
  </si>
  <si>
    <t>Target Hit %</t>
  </si>
  <si>
    <t>Away From Target %</t>
  </si>
  <si>
    <t>Mum-TCL001</t>
  </si>
  <si>
    <t>Raj Verma</t>
  </si>
  <si>
    <t>Mum-TCL002</t>
  </si>
  <si>
    <t>Tanuja Kale</t>
  </si>
  <si>
    <t>Mum-TCL003</t>
  </si>
  <si>
    <t>Arvind Sharma</t>
  </si>
  <si>
    <t>Mum-TCL004</t>
  </si>
  <si>
    <t>Tahira Qureshi</t>
  </si>
  <si>
    <t>Mum-TCL005</t>
  </si>
  <si>
    <t>Anuj Sharma</t>
  </si>
  <si>
    <t>Mum-TCL006</t>
  </si>
  <si>
    <t>Syed Sohail</t>
  </si>
  <si>
    <t>Patna</t>
  </si>
  <si>
    <t>Mum-TCL007</t>
  </si>
  <si>
    <t>Syed Saqib</t>
  </si>
  <si>
    <t>Ranchi</t>
  </si>
  <si>
    <t>Mum-TCL008</t>
  </si>
  <si>
    <t>Syed Naved</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</si>
  <si>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</si>
  <si>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</si>
  <si>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</si>
  <si>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</si>
  <si>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</si>
  <si>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</si>
  <si>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</si>
  <si>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</si>
  <si>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</si>
  <si>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</si>
  <si>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</si>
  <si>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</si>
  <si>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</si>
  <si>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</si>
  <si>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</si>
  <si>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</si>
  <si>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</si>
  <si>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</si>
  <si>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</si>
  <si>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</si>
  <si>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</si>
  <si>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</si>
  <si>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</si>
  <si>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</si>
  <si>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</si>
  <si>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</si>
  <si>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</si>
  <si>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</si>
  <si>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</si>
  <si>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</si>
  <si>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</si>
  <si>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</si>
  <si>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</si>
  <si>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</si>
  <si>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</si>
  <si>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</si>
  <si>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</si>
  <si>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</si>
  <si>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</si>
  <si>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</si>
  <si>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</si>
  <si>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</si>
  <si>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</si>
  <si>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</si>
  <si>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</si>
  <si>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</si>
  <si>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</si>
  <si>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</si>
  <si>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</si>
  <si>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</si>
  <si>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</si>
  <si>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</si>
  <si>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</si>
  <si>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</si>
  <si>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</si>
  <si>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</si>
  <si>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</si>
  <si>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</si>
  <si>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</si>
  <si>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</si>
  <si>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</si>
  <si>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</si>
  <si>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</si>
  <si>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</si>
  <si>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</si>
  <si>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</si>
  <si>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</si>
  <si>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</si>
  <si>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</si>
  <si>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</si>
  <si>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</si>
  <si>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Rekha Jain</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</si>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</sst>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8" formatCode="&quot;₹&quot;\ #,##0.00;[Red]&quot;₹&quot;\ \-#,##0.00"/>
    <numFmt numFmtId="164" formatCode="[$-14009]yyyy/mm/dd;@"/>
  </numFmts>
  <fonts count="13">
    <font>
      <sz val="11"/>
      <color theme="1"/>
      <name val="Calibri"/>
      <family val="2"/>
      <scheme val="minor"/>
    </font>
    <font>
      <b/>
      <sz val="11"/>
      <color theme="1"/>
      <name val="Calibri"/>
      <family val="2"/>
      <scheme val="minor"/>
    </font>
    <font>
      <sz val="11"/>
      <color theme="1"/>
      <name val="Arial"/>
      <family val="2"/>
    </font>
    <font>
      <b/>
      <sz val="11"/>
      <color theme="1"/>
      <name val="Arial"/>
      <family val="2"/>
    </font>
    <font>
      <b/>
      <sz val="11"/>
      <color theme="1"/>
      <name val="Aptos Narrow"/>
      <family val="2"/>
    </font>
    <font>
      <sz val="11"/>
      <color theme="1"/>
      <name val="Aptos Narrow"/>
      <family val="2"/>
    </font>
    <font>
      <b/>
      <sz val="12"/>
      <color theme="1"/>
      <name val="Aptos Narrow"/>
      <family val="2"/>
    </font>
    <font>
      <sz val="12"/>
      <color theme="1"/>
      <name val="Aptos Narrow"/>
      <family val="2"/>
    </font>
    <font>
      <b/>
      <sz val="11"/>
      <color theme="1"/>
      <name val="Play"/>
    </font>
    <font>
      <sz val="11"/>
      <color theme="1"/>
      <name val="Play"/>
    </font>
    <font>
      <b/>
      <sz val="10"/>
      <color theme="1"/>
      <name val="Calibri"/>
      <family val="2"/>
      <scheme val="minor"/>
    </font>
    <font>
      <sz val="10"/>
      <color theme="1"/>
      <name val="Calibri"/>
      <family val="2"/>
      <scheme val="minor"/>
    </font>
    <font>
      <sz val="8"/>
      <color rgb="FF000000"/>
      <name val="Segoe UI"/>
      <family val="2"/>
    </font>
  </fonts>
  <fills count="7">
    <fill>
      <patternFill patternType="none"/>
    </fill>
    <fill>
      <patternFill patternType="gray125"/>
    </fill>
    <fill>
      <patternFill patternType="solid">
        <fgColor rgb="FF83CAEB"/>
        <bgColor indexed="64"/>
      </patternFill>
    </fill>
    <fill>
      <patternFill patternType="solid">
        <fgColor rgb="FFFFFF00"/>
        <bgColor indexed="64"/>
      </patternFill>
    </fill>
    <fill>
      <patternFill patternType="solid">
        <fgColor rgb="FFD9E2F3"/>
        <bgColor indexed="64"/>
      </patternFill>
    </fill>
    <fill>
      <patternFill patternType="solid">
        <fgColor theme="2" tint="-9.9978637043366805E-2"/>
        <bgColor indexed="64"/>
      </patternFill>
    </fill>
    <fill>
      <patternFill patternType="solid">
        <fgColor theme="9" tint="0.79998168889431442"/>
        <bgColor indexed="64"/>
      </patternFill>
    </fill>
  </fills>
  <borders count="18">
    <border>
      <left/>
      <right/>
      <top/>
      <bottom/>
      <diagonal/>
    </border>
    <border>
      <left style="medium">
        <color rgb="FFC4C7C5"/>
      </left>
      <right style="medium">
        <color rgb="FFC4C7C5"/>
      </right>
      <top style="medium">
        <color rgb="FFC4C7C5"/>
      </top>
      <bottom style="medium">
        <color rgb="FFC4C7C5"/>
      </bottom>
      <diagonal/>
    </border>
    <border>
      <left style="medium">
        <color rgb="FFC4C7C5"/>
      </left>
      <right style="medium">
        <color rgb="FFC4C7C5"/>
      </right>
      <top/>
      <bottom/>
      <diagonal/>
    </border>
    <border>
      <left style="medium">
        <color rgb="FF000000"/>
      </left>
      <right style="medium">
        <color rgb="FF000000"/>
      </right>
      <top style="medium">
        <color rgb="FF000000"/>
      </top>
      <bottom style="medium">
        <color rgb="FF000000"/>
      </bottom>
      <diagonal/>
    </border>
    <border>
      <left style="medium">
        <color rgb="FFCCCCCC"/>
      </left>
      <right style="medium">
        <color rgb="FF000000"/>
      </right>
      <top style="medium">
        <color rgb="FF000000"/>
      </top>
      <bottom style="medium">
        <color rgb="FF000000"/>
      </bottom>
      <diagonal/>
    </border>
    <border>
      <left style="medium">
        <color rgb="FF000000"/>
      </left>
      <right style="medium">
        <color rgb="FF000000"/>
      </right>
      <top style="medium">
        <color rgb="FFCCCCCC"/>
      </top>
      <bottom style="medium">
        <color rgb="FF000000"/>
      </bottom>
      <diagonal/>
    </border>
    <border>
      <left style="medium">
        <color rgb="FFCCCCCC"/>
      </left>
      <right style="medium">
        <color rgb="FF000000"/>
      </right>
      <top style="medium">
        <color rgb="FFCCCCCC"/>
      </top>
      <bottom style="medium">
        <color rgb="FF000000"/>
      </bottom>
      <diagonal/>
    </border>
    <border>
      <left style="medium">
        <color rgb="FFCCCCCC"/>
      </left>
      <right style="medium">
        <color rgb="FF000000"/>
      </right>
      <top style="medium">
        <color rgb="FFCCCCCC"/>
      </top>
      <bottom style="medium">
        <color rgb="FFCCCCCC"/>
      </bottom>
      <diagonal/>
    </border>
    <border>
      <left style="medium">
        <color rgb="FFCCCCCC"/>
      </left>
      <right style="medium">
        <color rgb="FFCCCCCC"/>
      </right>
      <top style="medium">
        <color rgb="FFCCCCCC"/>
      </top>
      <bottom style="medium">
        <color rgb="FFCCCCCC"/>
      </bottom>
      <diagonal/>
    </border>
    <border>
      <left style="medium">
        <color rgb="FFCCCCCC"/>
      </left>
      <right style="medium">
        <color rgb="FFCCCCCC"/>
      </right>
      <top style="medium">
        <color rgb="FFCCCCCC"/>
      </top>
      <bottom style="medium">
        <color rgb="FF000000"/>
      </bottom>
      <diagonal/>
    </border>
    <border>
      <left style="medium">
        <color rgb="FFCCCCCC"/>
      </left>
      <right style="medium">
        <color rgb="FFCCCCCC"/>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1">
    <xf numFmtId="0" fontId="0" fillId="0" borderId="0"/>
  </cellStyleXfs>
  <cellXfs count="82">
    <xf numFmtId="0" fontId="0" fillId="0" borderId="0" xfId="0"/>
    <xf numFmtId="0" fontId="0" fillId="0" borderId="0" xfId="0" applyAlignment="1">
      <alignment horizontal="left"/>
    </xf>
    <xf numFmtId="8" fontId="0" fillId="0" borderId="0" xfId="0" applyNumberFormat="1" applyAlignment="1">
      <alignment horizontal="right"/>
    </xf>
    <xf numFmtId="9" fontId="0" fillId="0" borderId="0" xfId="0" applyNumberFormat="1" applyAlignment="1">
      <alignment horizontal="right"/>
    </xf>
    <xf numFmtId="14" fontId="0" fillId="0" borderId="0" xfId="0" applyNumberFormat="1" applyAlignment="1">
      <alignment horizontal="right"/>
    </xf>
    <xf numFmtId="0" fontId="1" fillId="0" borderId="0" xfId="0" applyFont="1" applyAlignment="1">
      <alignment horizontal="center"/>
    </xf>
    <xf numFmtId="8" fontId="1" fillId="0" borderId="0" xfId="0" applyNumberFormat="1" applyFont="1" applyAlignment="1">
      <alignment horizontal="center"/>
    </xf>
    <xf numFmtId="9" fontId="1" fillId="0" borderId="0" xfId="0" applyNumberFormat="1" applyFont="1" applyAlignment="1">
      <alignment horizontal="center"/>
    </xf>
    <xf numFmtId="14" fontId="1" fillId="0" borderId="0" xfId="0" applyNumberFormat="1" applyFont="1" applyAlignment="1">
      <alignment horizontal="center"/>
    </xf>
    <xf numFmtId="0" fontId="3" fillId="0" borderId="1" xfId="0" applyFont="1" applyBorder="1" applyAlignment="1">
      <alignment horizontal="left" vertical="center" wrapText="1" indent="1"/>
    </xf>
    <xf numFmtId="0" fontId="2" fillId="0" borderId="1" xfId="0" applyFont="1" applyBorder="1" applyAlignment="1">
      <alignment horizontal="left" vertical="center" wrapText="1"/>
    </xf>
    <xf numFmtId="8" fontId="2" fillId="0" borderId="1" xfId="0" applyNumberFormat="1" applyFont="1" applyBorder="1" applyAlignment="1">
      <alignment horizontal="right" vertical="center" wrapText="1" indent="1"/>
    </xf>
    <xf numFmtId="9" fontId="2" fillId="0" borderId="1" xfId="0" applyNumberFormat="1" applyFont="1" applyBorder="1" applyAlignment="1">
      <alignment horizontal="right" vertical="center" wrapText="1" indent="1"/>
    </xf>
    <xf numFmtId="14" fontId="2" fillId="0" borderId="1" xfId="0" applyNumberFormat="1" applyFont="1" applyBorder="1" applyAlignment="1">
      <alignment horizontal="right" vertical="center" wrapText="1" indent="1"/>
    </xf>
    <xf numFmtId="0" fontId="2" fillId="0" borderId="2" xfId="0" applyFont="1" applyBorder="1" applyAlignment="1">
      <alignment horizontal="left" vertical="center" wrapText="1"/>
    </xf>
    <xf numFmtId="0" fontId="0" fillId="0" borderId="0" xfId="0" applyAlignment="1">
      <alignment horizontal="center"/>
    </xf>
    <xf numFmtId="8" fontId="0" fillId="0" borderId="0" xfId="0" applyNumberFormat="1"/>
    <xf numFmtId="4" fontId="0" fillId="0" borderId="0" xfId="0" applyNumberFormat="1"/>
    <xf numFmtId="4" fontId="0" fillId="0" borderId="0" xfId="0" applyNumberFormat="1" applyAlignment="1">
      <alignment horizontal="right"/>
    </xf>
    <xf numFmtId="9" fontId="0" fillId="0" borderId="0" xfId="0" applyNumberFormat="1" applyAlignment="1">
      <alignment horizontal="left"/>
    </xf>
    <xf numFmtId="0" fontId="0" fillId="0" borderId="0" xfId="0" applyAlignment="1">
      <alignment horizontal="right"/>
    </xf>
    <xf numFmtId="0" fontId="4" fillId="2" borderId="3" xfId="0" applyFont="1" applyFill="1" applyBorder="1" applyAlignment="1">
      <alignment horizontal="center" vertical="top" wrapText="1"/>
    </xf>
    <xf numFmtId="0" fontId="4" fillId="2" borderId="4" xfId="0" applyFont="1" applyFill="1" applyBorder="1" applyAlignment="1">
      <alignment horizontal="center" vertical="top" wrapText="1"/>
    </xf>
    <xf numFmtId="0" fontId="5" fillId="0" borderId="5" xfId="0" applyFont="1" applyBorder="1" applyAlignment="1">
      <alignment wrapText="1"/>
    </xf>
    <xf numFmtId="0" fontId="5" fillId="0" borderId="6" xfId="0" applyFont="1" applyBorder="1" applyAlignment="1">
      <alignment wrapText="1"/>
    </xf>
    <xf numFmtId="8" fontId="5" fillId="0" borderId="6" xfId="0" applyNumberFormat="1" applyFont="1" applyBorder="1" applyAlignment="1">
      <alignment horizontal="right" wrapText="1"/>
    </xf>
    <xf numFmtId="14" fontId="0" fillId="0" borderId="0" xfId="0" applyNumberFormat="1"/>
    <xf numFmtId="14" fontId="5" fillId="0" borderId="6" xfId="0" applyNumberFormat="1" applyFont="1" applyBorder="1" applyAlignment="1">
      <alignment horizontal="right" wrapText="1"/>
    </xf>
    <xf numFmtId="0" fontId="4" fillId="2" borderId="7" xfId="0" applyFont="1" applyFill="1" applyBorder="1" applyAlignment="1">
      <alignment horizontal="center" vertical="top" wrapText="1"/>
    </xf>
    <xf numFmtId="0" fontId="5" fillId="0" borderId="8" xfId="0" applyFont="1" applyBorder="1" applyAlignment="1">
      <alignment wrapText="1"/>
    </xf>
    <xf numFmtId="0" fontId="0" fillId="0" borderId="8" xfId="0" applyBorder="1" applyAlignment="1">
      <alignment wrapText="1"/>
    </xf>
    <xf numFmtId="0" fontId="0" fillId="0" borderId="8" xfId="0" applyBorder="1" applyAlignment="1">
      <alignment horizontal="right" wrapText="1"/>
    </xf>
    <xf numFmtId="0" fontId="5" fillId="0" borderId="8" xfId="0" applyFont="1" applyBorder="1" applyAlignment="1">
      <alignment horizontal="right" wrapText="1"/>
    </xf>
    <xf numFmtId="0" fontId="5" fillId="0" borderId="9" xfId="0" applyFont="1" applyBorder="1" applyAlignment="1">
      <alignment wrapText="1"/>
    </xf>
    <xf numFmtId="0" fontId="5" fillId="0" borderId="7" xfId="0" applyFont="1" applyBorder="1" applyAlignment="1">
      <alignment wrapText="1"/>
    </xf>
    <xf numFmtId="0" fontId="4" fillId="2" borderId="6" xfId="0" applyFont="1" applyFill="1" applyBorder="1" applyAlignment="1">
      <alignment horizontal="center" vertical="top" wrapText="1"/>
    </xf>
    <xf numFmtId="8" fontId="5" fillId="0" borderId="8" xfId="0" applyNumberFormat="1" applyFont="1" applyBorder="1" applyAlignment="1">
      <alignment wrapText="1"/>
    </xf>
    <xf numFmtId="0" fontId="4" fillId="0" borderId="3" xfId="0" applyFont="1" applyBorder="1" applyAlignment="1">
      <alignment horizontal="center" vertical="top" wrapText="1"/>
    </xf>
    <xf numFmtId="0" fontId="4" fillId="0" borderId="4" xfId="0" applyFont="1" applyBorder="1" applyAlignment="1">
      <alignment horizontal="center" vertical="top" wrapText="1"/>
    </xf>
    <xf numFmtId="0" fontId="6" fillId="0" borderId="6" xfId="0" applyFont="1" applyBorder="1" applyAlignment="1">
      <alignment horizontal="center" vertical="center" wrapText="1"/>
    </xf>
    <xf numFmtId="0" fontId="7" fillId="0" borderId="8" xfId="0" applyFont="1" applyBorder="1" applyAlignment="1">
      <alignment horizontal="center" vertical="center" wrapText="1"/>
    </xf>
    <xf numFmtId="0" fontId="6" fillId="0" borderId="8" xfId="0" applyFont="1" applyBorder="1" applyAlignment="1">
      <alignment vertical="center" wrapText="1"/>
    </xf>
    <xf numFmtId="0" fontId="4" fillId="0" borderId="8" xfId="0" applyFont="1" applyBorder="1" applyAlignment="1">
      <alignment horizontal="right" wrapText="1"/>
    </xf>
    <xf numFmtId="0" fontId="1" fillId="0" borderId="8" xfId="0" applyFont="1" applyBorder="1" applyAlignment="1">
      <alignment horizontal="center" vertical="top" wrapText="1"/>
    </xf>
    <xf numFmtId="0" fontId="8" fillId="3" borderId="3" xfId="0" applyFont="1" applyFill="1" applyBorder="1" applyAlignment="1">
      <alignment vertical="center" wrapText="1"/>
    </xf>
    <xf numFmtId="0" fontId="9" fillId="0" borderId="5" xfId="0" applyFont="1" applyBorder="1" applyAlignment="1">
      <alignment vertical="center" wrapText="1"/>
    </xf>
    <xf numFmtId="0" fontId="4" fillId="0" borderId="8" xfId="0" applyFont="1" applyBorder="1" applyAlignment="1">
      <alignment horizontal="center" vertical="top" wrapText="1"/>
    </xf>
    <xf numFmtId="0" fontId="5" fillId="0" borderId="8" xfId="0" applyFont="1" applyBorder="1" applyAlignment="1">
      <alignment vertical="top" wrapText="1"/>
    </xf>
    <xf numFmtId="14" fontId="0" fillId="0" borderId="8" xfId="0" applyNumberFormat="1" applyBorder="1" applyAlignment="1">
      <alignment horizontal="right" wrapText="1"/>
    </xf>
    <xf numFmtId="14" fontId="5" fillId="0" borderId="8" xfId="0" applyNumberFormat="1" applyFont="1" applyBorder="1" applyAlignment="1">
      <alignment horizontal="right" wrapText="1"/>
    </xf>
    <xf numFmtId="0" fontId="4" fillId="0" borderId="10" xfId="0" applyFont="1" applyBorder="1" applyAlignment="1">
      <alignment wrapText="1"/>
    </xf>
    <xf numFmtId="0" fontId="1" fillId="0" borderId="3" xfId="0" applyFont="1" applyBorder="1" applyAlignment="1">
      <alignment horizontal="center" vertical="top" wrapText="1"/>
    </xf>
    <xf numFmtId="0" fontId="1" fillId="0" borderId="4" xfId="0" applyFont="1" applyBorder="1" applyAlignment="1">
      <alignment horizontal="center" vertical="top" wrapText="1"/>
    </xf>
    <xf numFmtId="0" fontId="0" fillId="0" borderId="4" xfId="0" applyBorder="1" applyAlignment="1">
      <alignment vertical="top" wrapText="1"/>
    </xf>
    <xf numFmtId="0" fontId="0" fillId="0" borderId="7" xfId="0" applyBorder="1" applyAlignment="1">
      <alignment wrapText="1"/>
    </xf>
    <xf numFmtId="14" fontId="0" fillId="0" borderId="8" xfId="0" applyNumberFormat="1" applyBorder="1" applyAlignment="1">
      <alignment wrapText="1"/>
    </xf>
    <xf numFmtId="164" fontId="0" fillId="0" borderId="8" xfId="0" applyNumberFormat="1" applyBorder="1" applyAlignment="1">
      <alignment horizontal="right" wrapText="1"/>
    </xf>
    <xf numFmtId="0" fontId="1" fillId="0" borderId="7" xfId="0" applyFont="1" applyBorder="1" applyAlignment="1">
      <alignment horizontal="center" vertical="top" wrapText="1"/>
    </xf>
    <xf numFmtId="0" fontId="0" fillId="0" borderId="8" xfId="0" applyBorder="1" applyAlignment="1">
      <alignment vertical="center"/>
    </xf>
    <xf numFmtId="0" fontId="0" fillId="0" borderId="3" xfId="0" applyBorder="1" applyAlignment="1">
      <alignment vertical="top" wrapText="1"/>
    </xf>
    <xf numFmtId="0" fontId="1" fillId="0" borderId="8" xfId="0" applyFont="1" applyBorder="1" applyAlignment="1">
      <alignment horizontal="right" wrapText="1"/>
    </xf>
    <xf numFmtId="0" fontId="0" fillId="0" borderId="0" xfId="0" pivotButton="1"/>
    <xf numFmtId="0" fontId="0" fillId="0" borderId="0" xfId="0" applyAlignment="1">
      <alignment horizontal="left" indent="1"/>
    </xf>
    <xf numFmtId="14" fontId="0" fillId="0" borderId="0" xfId="0" applyNumberFormat="1" applyAlignment="1">
      <alignment horizontal="left"/>
    </xf>
    <xf numFmtId="0" fontId="0" fillId="0" borderId="11" xfId="0" applyBorder="1"/>
    <xf numFmtId="0" fontId="0" fillId="0" borderId="12" xfId="0" applyBorder="1" applyAlignment="1">
      <alignment horizontal="left"/>
    </xf>
    <xf numFmtId="0" fontId="0" fillId="0" borderId="13" xfId="0" applyBorder="1"/>
    <xf numFmtId="0" fontId="0" fillId="0" borderId="14" xfId="0" applyBorder="1" applyAlignment="1">
      <alignment horizontal="left"/>
    </xf>
    <xf numFmtId="0" fontId="0" fillId="0" borderId="15" xfId="0" applyBorder="1"/>
    <xf numFmtId="0" fontId="0" fillId="0" borderId="16" xfId="0" applyBorder="1" applyAlignment="1">
      <alignment horizontal="left"/>
    </xf>
    <xf numFmtId="0" fontId="0" fillId="0" borderId="17" xfId="0" applyBorder="1"/>
    <xf numFmtId="0" fontId="10" fillId="3" borderId="3" xfId="0" applyFont="1" applyFill="1" applyBorder="1" applyAlignment="1">
      <alignment horizontal="center" vertical="center" wrapText="1"/>
    </xf>
    <xf numFmtId="0" fontId="10" fillId="3" borderId="4" xfId="0" applyFont="1" applyFill="1" applyBorder="1" applyAlignment="1">
      <alignment horizontal="center" vertical="center" wrapText="1"/>
    </xf>
    <xf numFmtId="0" fontId="11" fillId="4" borderId="5" xfId="0" applyFont="1" applyFill="1" applyBorder="1" applyAlignment="1">
      <alignment horizontal="center" vertical="center" wrapText="1"/>
    </xf>
    <xf numFmtId="0" fontId="0" fillId="4" borderId="6" xfId="0" applyFill="1" applyBorder="1" applyAlignment="1">
      <alignment wrapText="1"/>
    </xf>
    <xf numFmtId="0" fontId="11" fillId="4" borderId="6" xfId="0" applyFont="1" applyFill="1" applyBorder="1" applyAlignment="1">
      <alignment horizontal="center" vertical="center" wrapText="1"/>
    </xf>
    <xf numFmtId="10" fontId="0" fillId="0" borderId="0" xfId="0" applyNumberFormat="1"/>
    <xf numFmtId="10" fontId="11" fillId="4" borderId="6" xfId="0" applyNumberFormat="1" applyFont="1" applyFill="1" applyBorder="1" applyAlignment="1">
      <alignment horizontal="center" vertical="center" wrapText="1"/>
    </xf>
    <xf numFmtId="0" fontId="0" fillId="4" borderId="6" xfId="0" applyFill="1" applyBorder="1" applyAlignment="1">
      <alignment horizontal="center" wrapText="1"/>
    </xf>
    <xf numFmtId="0" fontId="0" fillId="5" borderId="0" xfId="0" applyFill="1"/>
    <xf numFmtId="0" fontId="0" fillId="6" borderId="0" xfId="0" applyFill="1"/>
    <xf numFmtId="0" fontId="0" fillId="0" borderId="0" xfId="0" applyNumberFormat="1"/>
  </cellXfs>
  <cellStyles count="1">
    <cellStyle name="Normal" xfId="0" builtinId="0"/>
  </cellStyles>
  <dxfs count="2">
    <dxf>
      <border>
        <left style="thin">
          <color indexed="64"/>
        </left>
        <right style="thin">
          <color indexed="64"/>
        </right>
        <top style="thin">
          <color indexed="64"/>
        </top>
        <bottom style="thin">
          <color indexed="64"/>
        </bottom>
      </border>
    </dxf>
    <dxf>
      <fill>
        <patternFill>
          <bgColor theme="1" tint="0.34998626667073579"/>
        </patternFill>
      </fill>
    </dxf>
  </dxfs>
  <tableStyles count="1" defaultTableStyle="TableStyleMedium2" defaultPivotStyle="PivotStyleLight16">
    <tableStyle name="Slicer Style 1" pivot="0" table="0" count="4" xr9:uid="{D8CAAD1B-CFDB-4666-B3B6-8D334747F4BC}">
      <tableStyleElement type="wholeTable" dxfId="1"/>
    </tableStyle>
  </tableStyles>
  <extLst>
    <ext xmlns:x14="http://schemas.microsoft.com/office/spreadsheetml/2009/9/main" uri="{46F421CA-312F-682f-3DD2-61675219B42D}">
      <x14:dxfs count="3">
        <dxf>
          <fill>
            <patternFill>
              <bgColor theme="9" tint="0.59996337778862885"/>
            </patternFill>
          </fill>
        </dxf>
        <dxf>
          <fill>
            <patternFill>
              <bgColor theme="9"/>
            </patternFill>
          </fill>
        </dxf>
        <dxf>
          <fill>
            <patternFill>
              <bgColor theme="9" tint="0.79998168889431442"/>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2"/>
            <x14:slicerStyleElement type="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pivotCacheDefinition" Target="pivotCache/pivotCacheDefinition1.xml"/><Relationship Id="rId26" Type="http://schemas.openxmlformats.org/officeDocument/2006/relationships/calcChain" Target="calcChain.xml"/><Relationship Id="rId3" Type="http://schemas.openxmlformats.org/officeDocument/2006/relationships/worksheet" Target="worksheets/sheet3.xml"/><Relationship Id="rId21" Type="http://schemas.microsoft.com/office/2007/relationships/slicerCache" Target="slicerCaches/slicerCache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pivotCacheDefinition" Target="pivotCache/pivotCacheDefinition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1084536307961502"/>
          <c:y val="5.0925925925925923E-2"/>
          <c:w val="0.76137685914260722"/>
          <c:h val="0.89814814814814814"/>
        </c:manualLayout>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Kahkasha Parveen</c:v>
                </c:pt>
                <c:pt idx="1">
                  <c:v>Mukesh Nagar</c:v>
                </c:pt>
                <c:pt idx="2">
                  <c:v>Raj Verma</c:v>
                </c:pt>
                <c:pt idx="3">
                  <c:v>Sanju Ramdas</c:v>
                </c:pt>
                <c:pt idx="4">
                  <c:v>Sheeba Joseph</c:v>
                </c:pt>
              </c:strCache>
            </c:strRef>
          </c:cat>
          <c:val>
            <c:numRef>
              <c:f>Dashboard!$B$4:$B$8</c:f>
              <c:numCache>
                <c:formatCode>General</c:formatCode>
                <c:ptCount val="5"/>
                <c:pt idx="0">
                  <c:v>351</c:v>
                </c:pt>
                <c:pt idx="1">
                  <c:v>351</c:v>
                </c:pt>
                <c:pt idx="2">
                  <c:v>339</c:v>
                </c:pt>
                <c:pt idx="3">
                  <c:v>332</c:v>
                </c:pt>
                <c:pt idx="4">
                  <c:v>344</c:v>
                </c:pt>
              </c:numCache>
            </c:numRef>
          </c:val>
          <c:extLst>
            <c:ext xmlns:c16="http://schemas.microsoft.com/office/drawing/2014/chart" uri="{C3380CC4-5D6E-409C-BE32-E72D297353CC}">
              <c16:uniqueId val="{00000000-1062-416A-93B5-B5B2B76CDACD}"/>
            </c:ext>
          </c:extLst>
        </c:ser>
        <c:dLbls>
          <c:dLblPos val="outEnd"/>
          <c:showLegendKey val="0"/>
          <c:showVal val="1"/>
          <c:showCatName val="0"/>
          <c:showSerName val="0"/>
          <c:showPercent val="0"/>
          <c:showBubbleSize val="0"/>
        </c:dLbls>
        <c:gapWidth val="182"/>
        <c:axId val="493825807"/>
        <c:axId val="493824847"/>
      </c:barChart>
      <c:catAx>
        <c:axId val="49382580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824847"/>
        <c:crosses val="autoZero"/>
        <c:auto val="1"/>
        <c:lblAlgn val="ctr"/>
        <c:lblOffset val="100"/>
        <c:noMultiLvlLbl val="0"/>
      </c:catAx>
      <c:valAx>
        <c:axId val="493824847"/>
        <c:scaling>
          <c:orientation val="minMax"/>
        </c:scaling>
        <c:delete val="1"/>
        <c:axPos val="b"/>
        <c:numFmt formatCode="General" sourceLinked="1"/>
        <c:majorTickMark val="none"/>
        <c:minorTickMark val="none"/>
        <c:tickLblPos val="nextTo"/>
        <c:crossAx val="49382580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[Dashboard.xlsm]Dashboard!PivotTable3</c:name>
    <c:fmtId val="0"/>
  </c:pivotSource>
  <c:chart>
    <c:autoTitleDeleted val="1"/>
    <c:pivotFmts>
      <c:pivotFmt>
        <c:idx val="0"/>
        <c:marker>
          <c:symbol val="none"/>
        </c:marker>
        <c:dLbl>
          <c:idx val="0"/>
          <c:spPr>
            <a:solidFill>
              <a:sysClr val="window" lastClr="FFFFFF">
                <a:alpha val="90000"/>
              </a:sysClr>
            </a:solidFill>
            <a:ln w="12700" cap="flat" cmpd="sng" algn="ctr">
              <a:solidFill>
                <a:srgbClr val="4472C4"/>
              </a:solidFill>
              <a:round/>
            </a:ln>
            <a:effectLst>
              <a:outerShdw blurRad="50800" dist="38100" dir="2700000" algn="tl" rotWithShape="0">
                <a:srgbClr val="4472C4">
                  <a:lumMod val="75000"/>
                  <a:alpha val="40000"/>
                </a:srgb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1"/>
                  </a:solidFill>
                  <a:effectLst/>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1">
              <a:alpha val="90000"/>
            </a:schemeClr>
          </a:solidFill>
          <a:ln w="19050">
            <a:solidFill>
              <a:schemeClr val="accent1">
                <a:lumMod val="75000"/>
              </a:schemeClr>
            </a:solidFill>
          </a:ln>
          <a:effectLst>
            <a:innerShdw blurRad="114300">
              <a:schemeClr val="accent1">
                <a:lumMod val="75000"/>
              </a:schemeClr>
            </a:innerShdw>
          </a:effectLst>
          <a:scene3d>
            <a:camera prst="orthographicFront"/>
            <a:lightRig rig="threePt" dir="t"/>
          </a:scene3d>
          <a:sp3d contourW="19050" prstMaterial="flat">
            <a:contourClr>
              <a:schemeClr val="accent1">
                <a:lumMod val="75000"/>
              </a:schemeClr>
            </a:contourClr>
          </a:sp3d>
        </c:spPr>
      </c:pivotFmt>
      <c:pivotFmt>
        <c:idx val="2"/>
        <c:spPr>
          <a:solidFill>
            <a:schemeClr val="accent2">
              <a:alpha val="90000"/>
            </a:schemeClr>
          </a:solidFill>
          <a:ln w="19050">
            <a:solidFill>
              <a:schemeClr val="accent2">
                <a:lumMod val="75000"/>
              </a:schemeClr>
            </a:solidFill>
          </a:ln>
          <a:effectLst>
            <a:innerShdw blurRad="114300">
              <a:schemeClr val="accent2">
                <a:lumMod val="75000"/>
              </a:schemeClr>
            </a:innerShdw>
          </a:effectLst>
          <a:scene3d>
            <a:camera prst="orthographicFront"/>
            <a:lightRig rig="threePt" dir="t"/>
          </a:scene3d>
          <a:sp3d contourW="19050" prstMaterial="flat">
            <a:contourClr>
              <a:schemeClr val="accent2">
                <a:lumMod val="75000"/>
              </a:schemeClr>
            </a:contourClr>
          </a:sp3d>
        </c:spPr>
      </c:pivotFmt>
      <c:pivotFmt>
        <c:idx val="3"/>
        <c:spPr>
          <a:solidFill>
            <a:schemeClr val="accent3">
              <a:alpha val="90000"/>
            </a:schemeClr>
          </a:solidFill>
          <a:ln w="19050">
            <a:solidFill>
              <a:schemeClr val="accent3">
                <a:lumMod val="75000"/>
              </a:schemeClr>
            </a:solidFill>
          </a:ln>
          <a:effectLst>
            <a:innerShdw blurRad="114300">
              <a:schemeClr val="accent3">
                <a:lumMod val="75000"/>
              </a:schemeClr>
            </a:innerShdw>
          </a:effectLst>
          <a:scene3d>
            <a:camera prst="orthographicFront"/>
            <a:lightRig rig="threePt" dir="t"/>
          </a:scene3d>
          <a:sp3d contourW="19050" prstMaterial="flat">
            <a:contourClr>
              <a:schemeClr val="accent3">
                <a:lumMod val="75000"/>
              </a:schemeClr>
            </a:contourClr>
          </a:sp3d>
        </c:spPr>
      </c:pivotFmt>
      <c:pivotFmt>
        <c:idx val="4"/>
        <c:spPr>
          <a:solidFill>
            <a:schemeClr val="accent4">
              <a:alpha val="90000"/>
            </a:schemeClr>
          </a:solidFill>
          <a:ln w="19050">
            <a:solidFill>
              <a:schemeClr val="accent4">
                <a:lumMod val="75000"/>
              </a:schemeClr>
            </a:solidFill>
          </a:ln>
          <a:effectLst>
            <a:innerShdw blurRad="114300">
              <a:schemeClr val="accent4">
                <a:lumMod val="75000"/>
              </a:schemeClr>
            </a:innerShdw>
          </a:effectLst>
          <a:scene3d>
            <a:camera prst="orthographicFront"/>
            <a:lightRig rig="threePt" dir="t"/>
          </a:scene3d>
          <a:sp3d contourW="19050" prstMaterial="flat">
            <a:contourClr>
              <a:schemeClr val="accent4">
                <a:lumMod val="75000"/>
              </a:schemeClr>
            </a:contourClr>
          </a:sp3d>
        </c:spPr>
      </c:pivotFmt>
      <c:pivotFmt>
        <c:idx val="5"/>
        <c:spPr>
          <a:solidFill>
            <a:schemeClr val="accent5">
              <a:alpha val="90000"/>
            </a:schemeClr>
          </a:solidFill>
          <a:ln w="19050">
            <a:solidFill>
              <a:schemeClr val="accent5">
                <a:lumMod val="75000"/>
              </a:schemeClr>
            </a:solidFill>
          </a:ln>
          <a:effectLst>
            <a:innerShdw blurRad="114300">
              <a:schemeClr val="accent5">
                <a:lumMod val="75000"/>
              </a:schemeClr>
            </a:innerShdw>
          </a:effectLst>
          <a:scene3d>
            <a:camera prst="orthographicFront"/>
            <a:lightRig rig="threePt" dir="t"/>
          </a:scene3d>
          <a:sp3d contourW="19050" prstMaterial="flat">
            <a:contourClr>
              <a:schemeClr val="accent5">
                <a:lumMod val="75000"/>
              </a:schemeClr>
            </a:contourClr>
          </a:sp3d>
        </c:spPr>
      </c:pivotFmt>
    </c:pivotFmts>
    <c:view3D>
      <c:rotX val="5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3.7011509295410097E-2"/>
          <c:y val="6.5883655806964633E-2"/>
          <c:w val="0.93888888888888888"/>
          <c:h val="0.89898989898989901"/>
        </c:manualLayout>
      </c:layout>
      <c:pie3DChart>
        <c:varyColors val="1"/>
        <c:ser>
          <c:idx val="0"/>
          <c:order val="0"/>
          <c:tx>
            <c:strRef>
              <c:f>Dashboard!$H$3</c:f>
              <c:strCache>
                <c:ptCount val="1"/>
                <c:pt idx="0">
                  <c:v>Total</c:v>
                </c:pt>
              </c:strCache>
            </c:strRef>
          </c:tx>
          <c:dPt>
            <c:idx val="0"/>
            <c:bubble3D val="0"/>
            <c:spPr>
              <a:solidFill>
                <a:schemeClr val="accent1">
                  <a:alpha val="90000"/>
                </a:schemeClr>
              </a:solidFill>
              <a:ln w="19050">
                <a:solidFill>
                  <a:schemeClr val="accent1">
                    <a:lumMod val="75000"/>
                  </a:schemeClr>
                </a:solidFill>
              </a:ln>
              <a:effectLst>
                <a:innerShdw blurRad="114300">
                  <a:schemeClr val="accent1">
                    <a:lumMod val="75000"/>
                  </a:schemeClr>
                </a:innerShdw>
              </a:effectLst>
              <a:scene3d>
                <a:camera prst="orthographicFront"/>
                <a:lightRig rig="threePt" dir="t"/>
              </a:scene3d>
              <a:sp3d contourW="19050" prstMaterial="flat">
                <a:contourClr>
                  <a:schemeClr val="accent1">
                    <a:lumMod val="75000"/>
                  </a:schemeClr>
                </a:contourClr>
              </a:sp3d>
            </c:spPr>
            <c:extLst>
              <c:ext xmlns:c16="http://schemas.microsoft.com/office/drawing/2014/chart" uri="{C3380CC4-5D6E-409C-BE32-E72D297353CC}">
                <c16:uniqueId val="{00000002-CB88-4545-BD86-8A43B42825C5}"/>
              </c:ext>
            </c:extLst>
          </c:dPt>
          <c:dPt>
            <c:idx val="1"/>
            <c:bubble3D val="0"/>
            <c:spPr>
              <a:solidFill>
                <a:schemeClr val="accent2">
                  <a:alpha val="90000"/>
                </a:schemeClr>
              </a:solidFill>
              <a:ln w="19050">
                <a:solidFill>
                  <a:schemeClr val="accent2">
                    <a:lumMod val="75000"/>
                  </a:schemeClr>
                </a:solidFill>
              </a:ln>
              <a:effectLst>
                <a:innerShdw blurRad="114300">
                  <a:schemeClr val="accent2">
                    <a:lumMod val="75000"/>
                  </a:schemeClr>
                </a:innerShdw>
              </a:effectLst>
              <a:scene3d>
                <a:camera prst="orthographicFront"/>
                <a:lightRig rig="threePt" dir="t"/>
              </a:scene3d>
              <a:sp3d contourW="19050" prstMaterial="flat">
                <a:contourClr>
                  <a:schemeClr val="accent2">
                    <a:lumMod val="75000"/>
                  </a:schemeClr>
                </a:contourClr>
              </a:sp3d>
            </c:spPr>
            <c:extLst>
              <c:ext xmlns:c16="http://schemas.microsoft.com/office/drawing/2014/chart" uri="{C3380CC4-5D6E-409C-BE32-E72D297353CC}">
                <c16:uniqueId val="{00000003-CB88-4545-BD86-8A43B42825C5}"/>
              </c:ext>
            </c:extLst>
          </c:dPt>
          <c:dPt>
            <c:idx val="2"/>
            <c:bubble3D val="0"/>
            <c:spPr>
              <a:solidFill>
                <a:schemeClr val="accent3">
                  <a:alpha val="90000"/>
                </a:schemeClr>
              </a:solidFill>
              <a:ln w="19050">
                <a:solidFill>
                  <a:schemeClr val="accent3">
                    <a:lumMod val="75000"/>
                  </a:schemeClr>
                </a:solidFill>
              </a:ln>
              <a:effectLst>
                <a:innerShdw blurRad="114300">
                  <a:schemeClr val="accent3">
                    <a:lumMod val="75000"/>
                  </a:schemeClr>
                </a:innerShdw>
              </a:effectLst>
              <a:scene3d>
                <a:camera prst="orthographicFront"/>
                <a:lightRig rig="threePt" dir="t"/>
              </a:scene3d>
              <a:sp3d contourW="19050" prstMaterial="flat">
                <a:contourClr>
                  <a:schemeClr val="accent3">
                    <a:lumMod val="75000"/>
                  </a:schemeClr>
                </a:contourClr>
              </a:sp3d>
            </c:spPr>
            <c:extLst>
              <c:ext xmlns:c16="http://schemas.microsoft.com/office/drawing/2014/chart" uri="{C3380CC4-5D6E-409C-BE32-E72D297353CC}">
                <c16:uniqueId val="{00000004-CB88-4545-BD86-8A43B42825C5}"/>
              </c:ext>
            </c:extLst>
          </c:dPt>
          <c:dPt>
            <c:idx val="3"/>
            <c:bubble3D val="0"/>
            <c:spPr>
              <a:solidFill>
                <a:schemeClr val="accent4">
                  <a:alpha val="90000"/>
                </a:schemeClr>
              </a:solidFill>
              <a:ln w="19050">
                <a:solidFill>
                  <a:schemeClr val="accent4">
                    <a:lumMod val="75000"/>
                  </a:schemeClr>
                </a:solidFill>
              </a:ln>
              <a:effectLst>
                <a:innerShdw blurRad="114300">
                  <a:schemeClr val="accent4">
                    <a:lumMod val="75000"/>
                  </a:schemeClr>
                </a:innerShdw>
              </a:effectLst>
              <a:scene3d>
                <a:camera prst="orthographicFront"/>
                <a:lightRig rig="threePt" dir="t"/>
              </a:scene3d>
              <a:sp3d contourW="19050" prstMaterial="flat">
                <a:contourClr>
                  <a:schemeClr val="accent4">
                    <a:lumMod val="75000"/>
                  </a:schemeClr>
                </a:contourClr>
              </a:sp3d>
            </c:spPr>
            <c:extLst>
              <c:ext xmlns:c16="http://schemas.microsoft.com/office/drawing/2014/chart" uri="{C3380CC4-5D6E-409C-BE32-E72D297353CC}">
                <c16:uniqueId val="{00000005-CB88-4545-BD86-8A43B42825C5}"/>
              </c:ext>
            </c:extLst>
          </c:dPt>
          <c:dPt>
            <c:idx val="4"/>
            <c:bubble3D val="0"/>
            <c:spPr>
              <a:solidFill>
                <a:schemeClr val="accent5">
                  <a:alpha val="90000"/>
                </a:schemeClr>
              </a:solidFill>
              <a:ln w="19050">
                <a:solidFill>
                  <a:schemeClr val="accent5">
                    <a:lumMod val="75000"/>
                  </a:schemeClr>
                </a:solidFill>
              </a:ln>
              <a:effectLst>
                <a:innerShdw blurRad="114300">
                  <a:schemeClr val="accent5">
                    <a:lumMod val="75000"/>
                  </a:schemeClr>
                </a:innerShdw>
              </a:effectLst>
              <a:scene3d>
                <a:camera prst="orthographicFront"/>
                <a:lightRig rig="threePt" dir="t"/>
              </a:scene3d>
              <a:sp3d contourW="19050" prstMaterial="flat">
                <a:contourClr>
                  <a:schemeClr val="accent5">
                    <a:lumMod val="75000"/>
                  </a:schemeClr>
                </a:contourClr>
              </a:sp3d>
            </c:spPr>
            <c:extLst>
              <c:ext xmlns:c16="http://schemas.microsoft.com/office/drawing/2014/chart" uri="{C3380CC4-5D6E-409C-BE32-E72D297353CC}">
                <c16:uniqueId val="{00000006-CB88-4545-BD86-8A43B42825C5}"/>
              </c:ext>
            </c:extLst>
          </c:dPt>
          <c:dLbls>
            <c:spPr>
              <a:solidFill>
                <a:sysClr val="window" lastClr="FFFFFF">
                  <a:alpha val="90000"/>
                </a:sysClr>
              </a:solidFill>
              <a:ln w="12700" cap="flat" cmpd="sng" algn="ctr">
                <a:solidFill>
                  <a:srgbClr val="4472C4"/>
                </a:solidFill>
                <a:round/>
              </a:ln>
              <a:effectLst>
                <a:outerShdw blurRad="50800" dist="38100" dir="2700000" algn="tl" rotWithShape="0">
                  <a:srgbClr val="4472C4">
                    <a:lumMod val="75000"/>
                    <a:alpha val="40000"/>
                  </a:srgb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1"/>
                    </a:solidFill>
                    <a:effectLst/>
                    <a:latin typeface="+mn-lt"/>
                    <a:ea typeface="+mn-ea"/>
                    <a:cs typeface="+mn-cs"/>
                  </a:defRPr>
                </a:pPr>
                <a:endParaRPr lang="en-US"/>
              </a:p>
            </c:txPr>
            <c:dLblPos val="inEnd"/>
            <c:showLegendKey val="0"/>
            <c:showVal val="0"/>
            <c:showCatName val="1"/>
            <c:showSerName val="0"/>
            <c:showPercent val="1"/>
            <c:showBubbleSize val="0"/>
            <c:showLeaderLines val="1"/>
            <c:leaderLines>
              <c:spPr>
                <a:ln w="9525">
                  <a:solidFill>
                    <a:schemeClr val="tx1">
                      <a:lumMod val="35000"/>
                      <a:lumOff val="65000"/>
                    </a:schemeClr>
                  </a:solidFill>
                </a:ln>
                <a:effectLst/>
              </c:spPr>
            </c:leaderLines>
            <c:extLst>
              <c:ext xmlns:c15="http://schemas.microsoft.com/office/drawing/2012/chart" uri="{CE6537A1-D6FC-4f65-9D91-7224C49458BB}"/>
            </c:extLst>
          </c:dLbls>
          <c:cat>
            <c:strRef>
              <c:f>Dashboard!$G$4:$G$8</c:f>
              <c:strCache>
                <c:ptCount val="5"/>
                <c:pt idx="0">
                  <c:v>Anikuttan</c:v>
                </c:pt>
                <c:pt idx="1">
                  <c:v>Arvind Sharma</c:v>
                </c:pt>
                <c:pt idx="2">
                  <c:v>Jagdish Chandra</c:v>
                </c:pt>
                <c:pt idx="3">
                  <c:v>Miny Mole</c:v>
                </c:pt>
                <c:pt idx="4">
                  <c:v>Rachita Anupam</c:v>
                </c:pt>
              </c:strCache>
            </c:strRef>
          </c:cat>
          <c:val>
            <c:numRef>
              <c:f>Dashboard!$H$4:$H$8</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CB88-4545-BD86-8A43B42825C5}"/>
            </c:ext>
          </c:extLst>
        </c:ser>
        <c:dLbls>
          <c:dLblPos val="inEnd"/>
          <c:showLegendKey val="0"/>
          <c:showVal val="0"/>
          <c:showCatName val="1"/>
          <c:showSerName val="0"/>
          <c:showPercent val="0"/>
          <c:showBubbleSize val="0"/>
          <c:showLeaderLines val="1"/>
        </c:dLbls>
      </c:pie3D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8423447069116351E-2"/>
          <c:y val="7.407407407407407E-2"/>
          <c:w val="0.93888888888888888"/>
          <c:h val="0.8416746864975212"/>
        </c:manualLayout>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Dinesh Kumar</c:v>
                </c:pt>
                <c:pt idx="1">
                  <c:v>Omprakash O</c:v>
                </c:pt>
                <c:pt idx="2">
                  <c:v>Pankaj Shelkey</c:v>
                </c:pt>
                <c:pt idx="3">
                  <c:v>Prabha Desikan</c:v>
                </c:pt>
                <c:pt idx="4">
                  <c:v>Praveen Kumar</c:v>
                </c:pt>
              </c:strCache>
            </c:strRef>
          </c:cat>
          <c:val>
            <c:numRef>
              <c:f>Dashboard!$K$4:$K$8</c:f>
              <c:numCache>
                <c:formatCode>0.00%</c:formatCode>
                <c:ptCount val="5"/>
                <c:pt idx="0">
                  <c:v>0.66800000000000004</c:v>
                </c:pt>
                <c:pt idx="1">
                  <c:v>0.71399999999999997</c:v>
                </c:pt>
                <c:pt idx="2">
                  <c:v>0.68799999999999994</c:v>
                </c:pt>
                <c:pt idx="3">
                  <c:v>0.65800000000000003</c:v>
                </c:pt>
                <c:pt idx="4">
                  <c:v>0.66800000000000004</c:v>
                </c:pt>
              </c:numCache>
            </c:numRef>
          </c:val>
          <c:smooth val="0"/>
          <c:extLst>
            <c:ext xmlns:c16="http://schemas.microsoft.com/office/drawing/2014/chart" uri="{C3380CC4-5D6E-409C-BE32-E72D297353CC}">
              <c16:uniqueId val="{00000000-B63F-4E0B-88D3-3A4A6074997E}"/>
            </c:ext>
          </c:extLst>
        </c:ser>
        <c:dLbls>
          <c:showLegendKey val="0"/>
          <c:showVal val="0"/>
          <c:showCatName val="0"/>
          <c:showSerName val="0"/>
          <c:showPercent val="0"/>
          <c:showBubbleSize val="0"/>
        </c:dLbls>
        <c:smooth val="0"/>
        <c:axId val="69712271"/>
        <c:axId val="69729071"/>
      </c:lineChart>
      <c:catAx>
        <c:axId val="697122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729071"/>
        <c:crosses val="autoZero"/>
        <c:auto val="1"/>
        <c:lblAlgn val="ctr"/>
        <c:lblOffset val="100"/>
        <c:noMultiLvlLbl val="0"/>
      </c:catAx>
      <c:valAx>
        <c:axId val="69729071"/>
        <c:scaling>
          <c:orientation val="minMax"/>
        </c:scaling>
        <c:delete val="1"/>
        <c:axPos val="l"/>
        <c:numFmt formatCode="0.00%" sourceLinked="1"/>
        <c:majorTickMark val="none"/>
        <c:minorTickMark val="none"/>
        <c:tickLblPos val="nextTo"/>
        <c:crossAx val="6971227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[Dashboard.xlsm]Sheet11!PivotTable1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646981627296588"/>
          <c:y val="0.34559747739865848"/>
          <c:w val="0.77378937007874016"/>
          <c:h val="0.44617198891805193"/>
        </c:manualLayout>
      </c:layout>
      <c:barChart>
        <c:barDir val="col"/>
        <c:grouping val="clustered"/>
        <c:varyColors val="0"/>
        <c:ser>
          <c:idx val="0"/>
          <c:order val="0"/>
          <c:tx>
            <c:strRef>
              <c:f>Sheet11!$B$3</c:f>
              <c:strCache>
                <c:ptCount val="1"/>
                <c:pt idx="0">
                  <c:v>Total</c:v>
                </c:pt>
              </c:strCache>
            </c:strRef>
          </c:tx>
          <c:spPr>
            <a:solidFill>
              <a:schemeClr val="accent1"/>
            </a:solidFill>
            <a:ln>
              <a:noFill/>
            </a:ln>
            <a:effectLst/>
          </c:spPr>
          <c:invertIfNegative val="0"/>
          <c:cat>
            <c:strRef>
              <c:f>Sheet11!$A$4:$A$9</c:f>
              <c:strCache>
                <c:ptCount val="5"/>
                <c:pt idx="0">
                  <c:v> </c:v>
                </c:pt>
                <c:pt idx="1">
                  <c:v>Gujarat</c:v>
                </c:pt>
                <c:pt idx="2">
                  <c:v>Karnataka</c:v>
                </c:pt>
                <c:pt idx="3">
                  <c:v>Maharashtra</c:v>
                </c:pt>
                <c:pt idx="4">
                  <c:v>Tamil Nadu</c:v>
                </c:pt>
              </c:strCache>
            </c:strRef>
          </c:cat>
          <c:val>
            <c:numRef>
              <c:f>Sheet11!$B$4:$B$9</c:f>
              <c:numCache>
                <c:formatCode>General</c:formatCode>
                <c:ptCount val="5"/>
                <c:pt idx="0">
                  <c:v>2067</c:v>
                </c:pt>
                <c:pt idx="1">
                  <c:v>1933</c:v>
                </c:pt>
                <c:pt idx="2">
                  <c:v>2170</c:v>
                </c:pt>
                <c:pt idx="3">
                  <c:v>2140</c:v>
                </c:pt>
                <c:pt idx="4">
                  <c:v>2264</c:v>
                </c:pt>
              </c:numCache>
            </c:numRef>
          </c:val>
          <c:extLst>
            <c:ext xmlns:c16="http://schemas.microsoft.com/office/drawing/2014/chart" uri="{C3380CC4-5D6E-409C-BE32-E72D297353CC}">
              <c16:uniqueId val="{00000000-4FFB-4823-A1A0-24CA559F5DED}"/>
            </c:ext>
          </c:extLst>
        </c:ser>
        <c:dLbls>
          <c:showLegendKey val="0"/>
          <c:showVal val="0"/>
          <c:showCatName val="0"/>
          <c:showSerName val="0"/>
          <c:showPercent val="0"/>
          <c:showBubbleSize val="0"/>
        </c:dLbls>
        <c:gapWidth val="219"/>
        <c:overlap val="-27"/>
        <c:axId val="1620206447"/>
        <c:axId val="1620208367"/>
      </c:barChart>
      <c:catAx>
        <c:axId val="16202064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20208367"/>
        <c:crosses val="autoZero"/>
        <c:auto val="1"/>
        <c:lblAlgn val="ctr"/>
        <c:lblOffset val="100"/>
        <c:noMultiLvlLbl val="0"/>
      </c:catAx>
      <c:valAx>
        <c:axId val="16202083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2020644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7620</xdr:colOff>
      <xdr:row>8</xdr:row>
      <xdr:rowOff>167640</xdr:rowOff>
    </xdr:from>
    <xdr:to>
      <xdr:col>3</xdr:col>
      <xdr:colOff>76200</xdr:colOff>
      <xdr:row>23</xdr:row>
      <xdr:rowOff>99060</xdr:rowOff>
    </xdr:to>
    <xdr:graphicFrame macro="">
      <xdr:nvGraphicFramePr>
        <xdr:cNvPr id="2" name="Chart 1">
          <a:extLst>
            <a:ext uri="{FF2B5EF4-FFF2-40B4-BE49-F238E27FC236}">
              <a16:creationId xmlns:a16="http://schemas.microsoft.com/office/drawing/2014/main" id="{8F44CC69-FBDD-3028-2658-83DBABCC01C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190500</xdr:colOff>
      <xdr:row>8</xdr:row>
      <xdr:rowOff>167640</xdr:rowOff>
    </xdr:from>
    <xdr:to>
      <xdr:col>6</xdr:col>
      <xdr:colOff>685800</xdr:colOff>
      <xdr:row>23</xdr:row>
      <xdr:rowOff>91440</xdr:rowOff>
    </xdr:to>
    <xdr:graphicFrame macro="">
      <xdr:nvGraphicFramePr>
        <xdr:cNvPr id="3" name="Chart 2">
          <a:extLst>
            <a:ext uri="{FF2B5EF4-FFF2-40B4-BE49-F238E27FC236}">
              <a16:creationId xmlns:a16="http://schemas.microsoft.com/office/drawing/2014/main" id="{21263EEA-F04D-2FD4-EB9A-3E59FC355EC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777240</xdr:colOff>
      <xdr:row>8</xdr:row>
      <xdr:rowOff>160020</xdr:rowOff>
    </xdr:from>
    <xdr:to>
      <xdr:col>10</xdr:col>
      <xdr:colOff>1013460</xdr:colOff>
      <xdr:row>23</xdr:row>
      <xdr:rowOff>106680</xdr:rowOff>
    </xdr:to>
    <xdr:graphicFrame macro="">
      <xdr:nvGraphicFramePr>
        <xdr:cNvPr id="4" name="Chart 3">
          <a:extLst>
            <a:ext uri="{FF2B5EF4-FFF2-40B4-BE49-F238E27FC236}">
              <a16:creationId xmlns:a16="http://schemas.microsoft.com/office/drawing/2014/main" id="{A6844572-5892-C7BC-3506-65238027CA6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53340</xdr:colOff>
      <xdr:row>0</xdr:row>
      <xdr:rowOff>0</xdr:rowOff>
    </xdr:from>
    <xdr:to>
      <xdr:col>10</xdr:col>
      <xdr:colOff>1562100</xdr:colOff>
      <xdr:row>1</xdr:row>
      <xdr:rowOff>182879</xdr:rowOff>
    </xdr:to>
    <mc:AlternateContent xmlns:mc="http://schemas.openxmlformats.org/markup-compatibility/2006">
      <mc:Choice xmlns:a14="http://schemas.microsoft.com/office/drawing/2010/main" Requires="a14">
        <xdr:graphicFrame macro="">
          <xdr:nvGraphicFramePr>
            <xdr:cNvPr id="5" name="Region">
              <a:extLst>
                <a:ext uri="{FF2B5EF4-FFF2-40B4-BE49-F238E27FC236}">
                  <a16:creationId xmlns:a16="http://schemas.microsoft.com/office/drawing/2014/main" id="{2CA0E61D-86D7-8358-3E3C-DF77C0F49F4B}"/>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53340" y="0"/>
              <a:ext cx="10591800" cy="42671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121920</xdr:colOff>
      <xdr:row>1</xdr:row>
      <xdr:rowOff>228600</xdr:rowOff>
    </xdr:from>
    <xdr:to>
      <xdr:col>10</xdr:col>
      <xdr:colOff>358140</xdr:colOff>
      <xdr:row>1</xdr:row>
      <xdr:rowOff>579120</xdr:rowOff>
    </xdr:to>
    <xdr:grpSp>
      <xdr:nvGrpSpPr>
        <xdr:cNvPr id="14" name="Group 13">
          <a:extLst>
            <a:ext uri="{FF2B5EF4-FFF2-40B4-BE49-F238E27FC236}">
              <a16:creationId xmlns:a16="http://schemas.microsoft.com/office/drawing/2014/main" id="{5B41ED2D-ADC1-80C4-0142-C7F5846A381F}"/>
            </a:ext>
          </a:extLst>
        </xdr:cNvPr>
        <xdr:cNvGrpSpPr/>
      </xdr:nvGrpSpPr>
      <xdr:grpSpPr>
        <a:xfrm>
          <a:off x="121920" y="472440"/>
          <a:ext cx="9319260" cy="350520"/>
          <a:chOff x="106680" y="213360"/>
          <a:chExt cx="9319260" cy="396240"/>
        </a:xfrm>
        <a:solidFill>
          <a:schemeClr val="accent6">
            <a:lumMod val="20000"/>
            <a:lumOff val="80000"/>
          </a:schemeClr>
        </a:solidFill>
      </xdr:grpSpPr>
      <xdr:grpSp>
        <xdr:nvGrpSpPr>
          <xdr:cNvPr id="13" name="Group 12">
            <a:extLst>
              <a:ext uri="{FF2B5EF4-FFF2-40B4-BE49-F238E27FC236}">
                <a16:creationId xmlns:a16="http://schemas.microsoft.com/office/drawing/2014/main" id="{69040472-77D8-19CF-4E28-3DA3976A97E6}"/>
              </a:ext>
            </a:extLst>
          </xdr:cNvPr>
          <xdr:cNvGrpSpPr/>
        </xdr:nvGrpSpPr>
        <xdr:grpSpPr>
          <a:xfrm>
            <a:off x="106680" y="243840"/>
            <a:ext cx="1112520" cy="365760"/>
            <a:chOff x="129540" y="243840"/>
            <a:chExt cx="1112520" cy="365760"/>
          </a:xfrm>
          <a:grpFill/>
        </xdr:grpSpPr>
        <xdr:sp macro="[0]!SlicerConnection" textlink="">
          <xdr:nvSpPr>
            <xdr:cNvPr id="6" name="Rectangle: Rounded Corners 5">
              <a:extLst>
                <a:ext uri="{FF2B5EF4-FFF2-40B4-BE49-F238E27FC236}">
                  <a16:creationId xmlns:a16="http://schemas.microsoft.com/office/drawing/2014/main" id="{A12AC0DE-D0F3-2770-001D-4DE34C87BFF8}"/>
                </a:ext>
              </a:extLst>
            </xdr:cNvPr>
            <xdr:cNvSpPr/>
          </xdr:nvSpPr>
          <xdr:spPr>
            <a:xfrm>
              <a:off x="129540" y="243840"/>
              <a:ext cx="1112520" cy="365760"/>
            </a:xfrm>
            <a:prstGeom prst="round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ctr"/>
              <a:endParaRPr lang="en-IN" sz="1100"/>
            </a:p>
          </xdr:txBody>
        </xdr:sp>
        <mc:AlternateContent xmlns:mc="http://schemas.openxmlformats.org/markup-compatibility/2006">
          <mc:Choice xmlns:a14="http://schemas.microsoft.com/office/drawing/2010/main" Requires="a14">
            <xdr:sp macro="" textlink="">
              <xdr:nvSpPr>
                <xdr:cNvPr id="16385" name="Check Box 1" hidden="1">
                  <a:extLst>
                    <a:ext uri="{63B3BB69-23CF-44E3-9099-C40C66FF867C}">
                      <a14:compatExt spid="_x0000_s16385"/>
                    </a:ext>
                    <a:ext uri="{FF2B5EF4-FFF2-40B4-BE49-F238E27FC236}">
                      <a16:creationId xmlns:a16="http://schemas.microsoft.com/office/drawing/2014/main" id="{00000000-0008-0000-0F00-000001400000}"/>
                    </a:ext>
                  </a:extLst>
                </xdr:cNvPr>
                <xdr:cNvSpPr/>
              </xdr:nvSpPr>
              <xdr:spPr bwMode="auto">
                <a:xfrm>
                  <a:off x="182880" y="304800"/>
                  <a:ext cx="1043940" cy="25146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mc:Choice>
          <mc:Fallback/>
        </mc:AlternateContent>
      </xdr:grpSp>
      <xdr:grpSp>
        <xdr:nvGrpSpPr>
          <xdr:cNvPr id="12" name="Group 11">
            <a:extLst>
              <a:ext uri="{FF2B5EF4-FFF2-40B4-BE49-F238E27FC236}">
                <a16:creationId xmlns:a16="http://schemas.microsoft.com/office/drawing/2014/main" id="{1D01E7F6-D121-F453-633B-580BCEF94F6C}"/>
              </a:ext>
            </a:extLst>
          </xdr:cNvPr>
          <xdr:cNvGrpSpPr/>
        </xdr:nvGrpSpPr>
        <xdr:grpSpPr>
          <a:xfrm>
            <a:off x="3055620" y="213360"/>
            <a:ext cx="3741420" cy="373380"/>
            <a:chOff x="3055620" y="213360"/>
            <a:chExt cx="3741420" cy="373380"/>
          </a:xfrm>
          <a:grpFill/>
        </xdr:grpSpPr>
        <xdr:sp macro="[0]!SlicerConnection" textlink="">
          <xdr:nvSpPr>
            <xdr:cNvPr id="7" name="Rectangle: Rounded Corners 6">
              <a:extLst>
                <a:ext uri="{FF2B5EF4-FFF2-40B4-BE49-F238E27FC236}">
                  <a16:creationId xmlns:a16="http://schemas.microsoft.com/office/drawing/2014/main" id="{E950F7FE-169D-4628-AE20-80A59E74086B}"/>
                </a:ext>
              </a:extLst>
            </xdr:cNvPr>
            <xdr:cNvSpPr/>
          </xdr:nvSpPr>
          <xdr:spPr>
            <a:xfrm>
              <a:off x="3055620" y="220980"/>
              <a:ext cx="1082040" cy="365760"/>
            </a:xfrm>
            <a:prstGeom prst="round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ctr"/>
              <a:endParaRPr lang="en-IN" sz="1100"/>
            </a:p>
          </xdr:txBody>
        </xdr:sp>
        <mc:AlternateContent xmlns:mc="http://schemas.openxmlformats.org/markup-compatibility/2006">
          <mc:Choice xmlns:a14="http://schemas.microsoft.com/office/drawing/2010/main" Requires="a14">
            <xdr:sp macro="" textlink="">
              <xdr:nvSpPr>
                <xdr:cNvPr id="16386" name="Check Box 2" hidden="1">
                  <a:extLst>
                    <a:ext uri="{63B3BB69-23CF-44E3-9099-C40C66FF867C}">
                      <a14:compatExt spid="_x0000_s16386"/>
                    </a:ext>
                    <a:ext uri="{FF2B5EF4-FFF2-40B4-BE49-F238E27FC236}">
                      <a16:creationId xmlns:a16="http://schemas.microsoft.com/office/drawing/2014/main" id="{00000000-0008-0000-0F00-000002400000}"/>
                    </a:ext>
                  </a:extLst>
                </xdr:cNvPr>
                <xdr:cNvSpPr/>
              </xdr:nvSpPr>
              <xdr:spPr bwMode="auto">
                <a:xfrm>
                  <a:off x="3124200" y="274320"/>
                  <a:ext cx="952500" cy="25146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mc:Choice>
          <mc:Fallback/>
        </mc:AlternateContent>
        <xdr:grpSp>
          <xdr:nvGrpSpPr>
            <xdr:cNvPr id="11" name="Group 10">
              <a:extLst>
                <a:ext uri="{FF2B5EF4-FFF2-40B4-BE49-F238E27FC236}">
                  <a16:creationId xmlns:a16="http://schemas.microsoft.com/office/drawing/2014/main" id="{8BF03AF4-BD67-2D06-1984-7F89E9FDB81B}"/>
                </a:ext>
              </a:extLst>
            </xdr:cNvPr>
            <xdr:cNvGrpSpPr/>
          </xdr:nvGrpSpPr>
          <xdr:grpSpPr>
            <a:xfrm>
              <a:off x="5661660" y="213360"/>
              <a:ext cx="1135380" cy="365760"/>
              <a:chOff x="5661660" y="213360"/>
              <a:chExt cx="1135380" cy="365760"/>
            </a:xfrm>
            <a:grpFill/>
          </xdr:grpSpPr>
          <xdr:sp macro="[0]!SlicerConnection" textlink="">
            <xdr:nvSpPr>
              <xdr:cNvPr id="8" name="Rectangle: Rounded Corners 7">
                <a:extLst>
                  <a:ext uri="{FF2B5EF4-FFF2-40B4-BE49-F238E27FC236}">
                    <a16:creationId xmlns:a16="http://schemas.microsoft.com/office/drawing/2014/main" id="{BBF7DC56-0952-460F-B552-236013079D31}"/>
                  </a:ext>
                </a:extLst>
              </xdr:cNvPr>
              <xdr:cNvSpPr/>
            </xdr:nvSpPr>
            <xdr:spPr>
              <a:xfrm>
                <a:off x="5661660" y="213360"/>
                <a:ext cx="1135380" cy="365760"/>
              </a:xfrm>
              <a:prstGeom prst="round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ctr"/>
                <a:endParaRPr lang="en-IN" sz="1100"/>
              </a:p>
            </xdr:txBody>
          </xdr:sp>
          <mc:AlternateContent xmlns:mc="http://schemas.openxmlformats.org/markup-compatibility/2006">
            <mc:Choice xmlns:a14="http://schemas.microsoft.com/office/drawing/2010/main" Requires="a14">
              <xdr:sp macro="" textlink="">
                <xdr:nvSpPr>
                  <xdr:cNvPr id="16387" name="Check Box 3" hidden="1">
                    <a:extLst>
                      <a:ext uri="{63B3BB69-23CF-44E3-9099-C40C66FF867C}">
                        <a14:compatExt spid="_x0000_s16387"/>
                      </a:ext>
                      <a:ext uri="{FF2B5EF4-FFF2-40B4-BE49-F238E27FC236}">
                        <a16:creationId xmlns:a16="http://schemas.microsoft.com/office/drawing/2014/main" id="{00000000-0008-0000-0F00-000003400000}"/>
                      </a:ext>
                    </a:extLst>
                  </xdr:cNvPr>
                  <xdr:cNvSpPr/>
                </xdr:nvSpPr>
                <xdr:spPr bwMode="auto">
                  <a:xfrm>
                    <a:off x="5730240" y="266700"/>
                    <a:ext cx="1005840" cy="25146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mc:Choice>
            <mc:Fallback/>
          </mc:AlternateContent>
        </xdr:grpSp>
      </xdr:grpSp>
      <xdr:grpSp>
        <xdr:nvGrpSpPr>
          <xdr:cNvPr id="10" name="Group 9">
            <a:extLst>
              <a:ext uri="{FF2B5EF4-FFF2-40B4-BE49-F238E27FC236}">
                <a16:creationId xmlns:a16="http://schemas.microsoft.com/office/drawing/2014/main" id="{CB22EEC7-D82E-BEBE-307B-82308A13B13F}"/>
              </a:ext>
            </a:extLst>
          </xdr:cNvPr>
          <xdr:cNvGrpSpPr/>
        </xdr:nvGrpSpPr>
        <xdr:grpSpPr>
          <a:xfrm>
            <a:off x="8168640" y="236220"/>
            <a:ext cx="1257300" cy="365760"/>
            <a:chOff x="8153400" y="541020"/>
            <a:chExt cx="1257300" cy="365760"/>
          </a:xfrm>
          <a:grpFill/>
        </xdr:grpSpPr>
        <xdr:sp macro="[0]!SlicerConnection" textlink="">
          <xdr:nvSpPr>
            <xdr:cNvPr id="9" name="Rectangle: Rounded Corners 8">
              <a:extLst>
                <a:ext uri="{FF2B5EF4-FFF2-40B4-BE49-F238E27FC236}">
                  <a16:creationId xmlns:a16="http://schemas.microsoft.com/office/drawing/2014/main" id="{9ED53726-40A1-4FD6-A2A9-BD5B6CA468C3}"/>
                </a:ext>
              </a:extLst>
            </xdr:cNvPr>
            <xdr:cNvSpPr/>
          </xdr:nvSpPr>
          <xdr:spPr>
            <a:xfrm>
              <a:off x="8153400" y="541020"/>
              <a:ext cx="1249680" cy="365760"/>
            </a:xfrm>
            <a:prstGeom prst="round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ctr"/>
              <a:endParaRPr lang="en-IN" sz="1100"/>
            </a:p>
          </xdr:txBody>
        </xdr:sp>
        <mc:AlternateContent xmlns:mc="http://schemas.openxmlformats.org/markup-compatibility/2006">
          <mc:Choice xmlns:a14="http://schemas.microsoft.com/office/drawing/2010/main" Requires="a14">
            <xdr:sp macro="" textlink="">
              <xdr:nvSpPr>
                <xdr:cNvPr id="16388" name="Check Box 4" hidden="1">
                  <a:extLst>
                    <a:ext uri="{63B3BB69-23CF-44E3-9099-C40C66FF867C}">
                      <a14:compatExt spid="_x0000_s16388"/>
                    </a:ext>
                    <a:ext uri="{FF2B5EF4-FFF2-40B4-BE49-F238E27FC236}">
                      <a16:creationId xmlns:a16="http://schemas.microsoft.com/office/drawing/2014/main" id="{00000000-0008-0000-0F00-000004400000}"/>
                    </a:ext>
                  </a:extLst>
                </xdr:cNvPr>
                <xdr:cNvSpPr/>
              </xdr:nvSpPr>
              <xdr:spPr bwMode="auto">
                <a:xfrm>
                  <a:off x="8199120" y="586740"/>
                  <a:ext cx="1211580" cy="25146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mc:Choice>
          <mc:Fallback/>
        </mc:AlternateContent>
      </xdr:grpSp>
    </xdr:grp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45720</xdr:colOff>
      <xdr:row>1</xdr:row>
      <xdr:rowOff>102870</xdr:rowOff>
    </xdr:from>
    <xdr:to>
      <xdr:col>8</xdr:col>
      <xdr:colOff>495300</xdr:colOff>
      <xdr:row>16</xdr:row>
      <xdr:rowOff>102870</xdr:rowOff>
    </xdr:to>
    <xdr:graphicFrame macro="">
      <xdr:nvGraphicFramePr>
        <xdr:cNvPr id="2" name="Chart 1">
          <a:extLst>
            <a:ext uri="{FF2B5EF4-FFF2-40B4-BE49-F238E27FC236}">
              <a16:creationId xmlns:a16="http://schemas.microsoft.com/office/drawing/2014/main" id="{6DB5E419-54AD-4934-A895-CC363A926DB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487680</xdr:colOff>
      <xdr:row>3</xdr:row>
      <xdr:rowOff>91440</xdr:rowOff>
    </xdr:from>
    <xdr:to>
      <xdr:col>13</xdr:col>
      <xdr:colOff>60960</xdr:colOff>
      <xdr:row>16</xdr:row>
      <xdr:rowOff>180975</xdr:rowOff>
    </xdr:to>
    <mc:AlternateContent xmlns:mc="http://schemas.openxmlformats.org/markup-compatibility/2006" xmlns:a14="http://schemas.microsoft.com/office/drawing/2010/main">
      <mc:Choice Requires="a14">
        <xdr:graphicFrame macro="">
          <xdr:nvGraphicFramePr>
            <xdr:cNvPr id="3" name="State">
              <a:extLst>
                <a:ext uri="{FF2B5EF4-FFF2-40B4-BE49-F238E27FC236}">
                  <a16:creationId xmlns:a16="http://schemas.microsoft.com/office/drawing/2014/main" id="{439B00EE-BA57-1B6B-A952-5CBBEDA19B8E}"/>
                </a:ext>
              </a:extLst>
            </xdr:cNvPr>
            <xdr:cNvGraphicFramePr/>
          </xdr:nvGraphicFramePr>
          <xdr:xfrm>
            <a:off x="0" y="0"/>
            <a:ext cx="0" cy="0"/>
          </xdr:xfrm>
          <a:graphic>
            <a:graphicData uri="http://schemas.microsoft.com/office/drawing/2010/slicer">
              <sle:slicer xmlns:sle="http://schemas.microsoft.com/office/drawing/2010/slicer" name="State"/>
            </a:graphicData>
          </a:graphic>
        </xdr:graphicFrame>
      </mc:Choice>
      <mc:Fallback xmlns="">
        <xdr:sp macro="" textlink="">
          <xdr:nvSpPr>
            <xdr:cNvPr id="0" name=""/>
            <xdr:cNvSpPr>
              <a:spLocks noTextEdit="1"/>
            </xdr:cNvSpPr>
          </xdr:nvSpPr>
          <xdr:spPr>
            <a:xfrm>
              <a:off x="8778240" y="64008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6193.957098611114" createdVersion="8" refreshedVersion="8" minRefreshableVersion="3" recordCount="1000" xr:uid="{C9475ADA-64C7-412E-B317-1DCBD19B6054}">
  <cacheSource type="worksheet">
    <worksheetSource ref="A1:J1001" sheet="Sheet10"/>
  </cacheSource>
  <cacheFields count="10">
    <cacheField name="Sale Date" numFmtId="0">
      <sharedItems containsDate="1" containsMixedTypes="1" minDate="2023-01-02T00:00:00" maxDate="2023-12-13T00:00:00" count="347">
        <s v="6/25/2023"/>
        <d v="2023-01-11T00:00:00"/>
        <d v="2023-06-04T00:00:00"/>
        <s v="10/15/2023"/>
        <d v="2023-07-08T00:00:00"/>
        <s v="12/23/2023"/>
        <d v="2023-01-05T00:00:00"/>
        <s v="10/23/2023"/>
        <s v="11/17/2023"/>
        <s v="2/15/2023"/>
        <s v="4/21/2023"/>
        <d v="2023-12-01T00:00:00"/>
        <s v="1/26/2023"/>
        <s v="5/27/2023"/>
        <s v="11/28/2023"/>
        <d v="2023-02-06T00:00:00"/>
        <s v="2/24/2023"/>
        <s v="2/17/2023"/>
        <s v="2/19/2023"/>
        <s v="4/28/2023"/>
        <d v="2023-06-12T00:00:00"/>
        <s v="6/24/2023"/>
        <s v="3/27/2023"/>
        <d v="2023-01-04T00:00:00"/>
        <s v="12/17/2023"/>
        <s v="7/21/2023"/>
        <s v="8/29/2023"/>
        <d v="2023-06-05T00:00:00"/>
        <s v="1/13/2023"/>
        <s v="6/20/2023"/>
        <d v="2023-11-01T00:00:00"/>
        <s v="11/30/2023"/>
        <d v="2023-10-05T00:00:00"/>
        <s v="1/24/2023"/>
        <s v="8/23/2023"/>
        <s v="2/18/2023"/>
        <d v="2023-04-08T00:00:00"/>
        <d v="2023-01-03T00:00:00"/>
        <s v="3/31/2023"/>
        <s v="4/15/2023"/>
        <s v="12/28/2023"/>
        <d v="2023-04-03T00:00:00"/>
        <d v="2023-04-02T00:00:00"/>
        <s v="4/19/2023"/>
        <s v="9/21/2023"/>
        <s v="10/21/2023"/>
        <d v="2023-06-02T00:00:00"/>
        <s v="4/26/2023"/>
        <s v="1/16/2023"/>
        <d v="2023-03-10T00:00:00"/>
        <d v="2023-11-06T00:00:00"/>
        <d v="2023-02-10T00:00:00"/>
        <s v="11/24/2023"/>
        <d v="2023-09-07T00:00:00"/>
        <s v="4/20/2023"/>
        <d v="2023-10-03T00:00:00"/>
        <d v="2023-03-05T00:00:00"/>
        <s v="10/29/2023"/>
        <d v="2023-03-12T00:00:00"/>
        <s v="5/26/2023"/>
        <s v="12/26/2023"/>
        <d v="2023-05-08T00:00:00"/>
        <s v="4/25/2023"/>
        <s v="4/27/2023"/>
        <s v="6/26/2023"/>
        <s v="6/18/2023"/>
        <d v="2023-02-03T00:00:00"/>
        <s v="3/18/2023"/>
        <d v="2023-10-12T00:00:00"/>
        <s v="10/30/2023"/>
        <d v="2023-07-02T00:00:00"/>
        <s v="8/25/2023"/>
        <s v="9/15/2023"/>
        <s v="7/19/2023"/>
        <s v="5/17/2023"/>
        <s v="6/30/2023"/>
        <s v="11/29/2023"/>
        <d v="2023-04-04T00:00:00"/>
        <s v="3/13/2023"/>
        <s v="10/22/2023"/>
        <d v="2023-01-12T00:00:00"/>
        <s v="3/29/2023"/>
        <d v="2023-03-02T00:00:00"/>
        <d v="2023-11-05T00:00:00"/>
        <d v="2023-03-07T00:00:00"/>
        <d v="2023-02-09T00:00:00"/>
        <s v="7/15/2023"/>
        <d v="2023-03-11T00:00:00"/>
        <s v="6/13/2023"/>
        <d v="2023-09-05T00:00:00"/>
        <s v="1/20/2023"/>
        <s v="5/16/2023"/>
        <s v="1/18/2023"/>
        <s v="5/29/2023"/>
        <d v="2023-03-09T00:00:00"/>
        <s v="3/24/2023"/>
        <s v="11/14/2023"/>
        <s v="5/31/2023"/>
        <s v="6/21/2023"/>
        <d v="2023-06-01T00:00:00"/>
        <d v="2023-09-01T00:00:00"/>
        <s v="1/30/2023"/>
        <s v="2/26/2023"/>
        <s v="12/15/2023"/>
        <d v="2023-08-07T00:00:00"/>
        <s v="9/23/2023"/>
        <s v="3/14/2023"/>
        <d v="2023-11-09T00:00:00"/>
        <s v="9/25/2023"/>
        <d v="2023-04-10T00:00:00"/>
        <d v="2023-06-09T00:00:00"/>
        <d v="2023-07-12T00:00:00"/>
        <s v="5/14/2023"/>
        <d v="2023-04-01T00:00:00"/>
        <s v="7/22/2023"/>
        <s v="11/18/2023"/>
        <d v="2023-08-01T00:00:00"/>
        <s v="4/13/2023"/>
        <d v="2023-11-02T00:00:00"/>
        <s v="10/31/2023"/>
        <s v="3/26/2023"/>
        <d v="2023-04-11T00:00:00"/>
        <d v="2023-10-11T00:00:00"/>
        <s v="3/20/2023"/>
        <s v="1/19/2023"/>
        <s v="2/14/2023"/>
        <s v="11/25/2023"/>
        <s v="5/30/2023"/>
        <s v="10/28/2023"/>
        <s v="3/15/2023"/>
        <s v="7/14/2023"/>
        <d v="2023-06-06T00:00:00"/>
        <d v="2023-02-12T00:00:00"/>
        <d v="2023-03-03T00:00:00"/>
        <s v="10/25/2023"/>
        <d v="2023-05-05T00:00:00"/>
        <s v="10/19/2023"/>
        <s v="4/29/2023"/>
        <s v="11/13/2023"/>
        <d v="2023-04-09T00:00:00"/>
        <s v="11/26/2023"/>
        <s v="6/27/2023"/>
        <s v="7/29/2023"/>
        <d v="2023-04-07T00:00:00"/>
        <d v="2023-02-01T00:00:00"/>
        <s v="10/18/2023"/>
        <d v="2023-12-06T00:00:00"/>
        <s v="9/18/2023"/>
        <d v="2023-12-08T00:00:00"/>
        <s v="1/25/2023"/>
        <s v="3/22/2023"/>
        <s v="1/17/2023"/>
        <s v="12/19/2023"/>
        <s v="7/17/2023"/>
        <s v="3/17/2023"/>
        <s v="8/19/2023"/>
        <d v="2023-10-10T00:00:00"/>
        <s v="8/16/2023"/>
        <d v="2023-09-06T00:00:00"/>
        <d v="2023-11-07T00:00:00"/>
        <s v="2/13/2023"/>
        <s v="9/16/2023"/>
        <s v="12/25/2023"/>
        <d v="2023-02-02T00:00:00"/>
        <d v="2023-08-04T00:00:00"/>
        <s v="6/22/2023"/>
        <d v="2023-04-06T00:00:00"/>
        <s v="3/30/2023"/>
        <s v="5/22/2023"/>
        <s v="2/20/2023"/>
        <d v="2023-10-09T00:00:00"/>
        <s v="11/27/2023"/>
        <d v="2023-08-08T00:00:00"/>
        <s v="5/23/2023"/>
        <d v="2023-11-11T00:00:00"/>
        <s v="7/30/2023"/>
        <s v="5/18/2023"/>
        <s v="8/14/2023"/>
        <d v="2023-09-12T00:00:00"/>
        <d v="2023-03-01T00:00:00"/>
        <d v="2023-06-03T00:00:00"/>
        <d v="2023-10-02T00:00:00"/>
        <s v="10/13/2023"/>
        <d v="2023-02-07T00:00:00"/>
        <s v="6/15/2023"/>
        <d v="2023-12-11T00:00:00"/>
        <s v="8/30/2023"/>
        <s v="1/22/2023"/>
        <s v="9/13/2023"/>
        <s v="5/21/2023"/>
        <s v="12/14/2023"/>
        <s v="12/24/2023"/>
        <s v="10/26/2023"/>
        <s v="5/24/2023"/>
        <d v="2023-11-03T00:00:00"/>
        <s v="1/21/2023"/>
        <d v="2023-02-04T00:00:00"/>
        <d v="2023-07-09T00:00:00"/>
        <d v="2023-05-11T00:00:00"/>
        <d v="2023-09-03T00:00:00"/>
        <d v="2023-12-12T00:00:00"/>
        <s v="1/27/2023"/>
        <d v="2023-05-02T00:00:00"/>
        <d v="2023-10-04T00:00:00"/>
        <s v="4/22/2023"/>
        <d v="2023-09-11T00:00:00"/>
        <d v="2023-02-11T00:00:00"/>
        <s v="4/30/2023"/>
        <s v="12/31/2023"/>
        <d v="2023-07-11T00:00:00"/>
        <d v="2023-03-08T00:00:00"/>
        <s v="8/20/2023"/>
        <d v="2023-10-01T00:00:00"/>
        <d v="2023-08-02T00:00:00"/>
        <s v="5/25/2023"/>
        <s v="9/17/2023"/>
        <d v="2023-07-06T00:00:00"/>
        <s v="10/17/2023"/>
        <s v="4/17/2023"/>
        <s v="10/20/2023"/>
        <d v="2023-01-10T00:00:00"/>
        <s v="7/13/2023"/>
        <d v="2023-09-10T00:00:00"/>
        <s v="12/20/2023"/>
        <d v="2023-01-07T00:00:00"/>
        <d v="2023-09-09T00:00:00"/>
        <s v="2/22/2023"/>
        <s v="6/16/2023"/>
        <s v="8/22/2023"/>
        <d v="2023-12-09T00:00:00"/>
        <s v="6/29/2023"/>
        <d v="2023-05-10T00:00:00"/>
        <d v="2023-11-08T00:00:00"/>
        <d v="2023-08-10T00:00:00"/>
        <s v="9/27/2023"/>
        <d v="2023-08-03T00:00:00"/>
        <s v="4/16/2023"/>
        <d v="2023-09-08T00:00:00"/>
        <s v="8/26/2023"/>
        <s v="6/23/2023"/>
        <s v="5/15/2023"/>
        <d v="2023-12-03T00:00:00"/>
        <d v="2023-12-10T00:00:00"/>
        <s v="12/21/2023"/>
        <d v="2023-04-05T00:00:00"/>
        <s v="10/16/2023"/>
        <s v="6/28/2023"/>
        <s v="1/23/2023"/>
        <s v="10/24/2023"/>
        <d v="2023-10-08T00:00:00"/>
        <s v="10/14/2023"/>
        <s v="1/14/2023"/>
        <s v="9/20/2023"/>
        <s v="12/16/2023"/>
        <s v="1/15/2023"/>
        <d v="2023-12-04T00:00:00"/>
        <s v="7/27/2023"/>
        <s v="6/14/2023"/>
        <d v="2023-12-02T00:00:00"/>
        <d v="2023-05-06T00:00:00"/>
        <s v="7/16/2023"/>
        <s v="9/26/2023"/>
        <s v="4/18/2023"/>
        <s v="2/21/2023"/>
        <d v="2023-08-05T00:00:00"/>
        <s v="11/21/2023"/>
        <s v="11/16/2023"/>
        <d v="2023-11-12T00:00:00"/>
        <s v="8/15/2023"/>
        <d v="2023-04-12T00:00:00"/>
        <s v="9/14/2023"/>
        <d v="2023-06-07T00:00:00"/>
        <d v="2023-07-10T00:00:00"/>
        <d v="2023-11-10T00:00:00"/>
        <s v="8/27/2023"/>
        <s v="2/28/2023"/>
        <s v="12/13/2023"/>
        <s v="7/31/2023"/>
        <s v="5/19/2023"/>
        <s v="9/28/2023"/>
        <s v="2/23/2023"/>
        <s v="6/19/2023"/>
        <d v="2023-07-07T00:00:00"/>
        <s v="7/18/2023"/>
        <d v="2023-10-06T00:00:00"/>
        <s v="7/24/2023"/>
        <s v="7/25/2023"/>
        <s v="11/19/2023"/>
        <d v="2023-06-10T00:00:00"/>
        <d v="2023-06-11T00:00:00"/>
        <d v="2023-01-06T00:00:00"/>
        <s v="5/20/2023"/>
        <s v="1/31/2023"/>
        <d v="2023-08-06T00:00:00"/>
        <s v="3/19/2023"/>
        <s v="9/19/2023"/>
        <d v="2023-11-04T00:00:00"/>
        <s v="12/22/2023"/>
        <d v="2023-05-12T00:00:00"/>
        <d v="2023-05-01T00:00:00"/>
        <d v="2023-09-04T00:00:00"/>
        <d v="2023-06-08T00:00:00"/>
        <s v="8/28/2023"/>
        <d v="2023-05-07T00:00:00"/>
        <d v="2023-02-08T00:00:00"/>
        <s v="2/16/2023"/>
        <d v="2023-07-03T00:00:00"/>
        <s v="3/21/2023"/>
        <s v="12/30/2023"/>
        <s v="4/14/2023"/>
        <s v="4/24/2023"/>
        <d v="2023-07-01T00:00:00"/>
        <s v="9/30/2023"/>
        <d v="2023-01-02T00:00:00"/>
        <d v="2023-10-07T00:00:00"/>
        <s v="8/31/2023"/>
        <s v="9/24/2023"/>
        <s v="9/29/2023"/>
        <s v="3/16/2023"/>
        <s v="2/27/2023"/>
        <s v="8/13/2023"/>
        <s v="1/28/2023"/>
        <s v="12/29/2023"/>
        <d v="2023-01-09T00:00:00"/>
        <s v="3/28/2023"/>
        <s v="8/21/2023"/>
        <s v="11/20/2023"/>
        <s v="11/15/2023"/>
        <d v="2023-12-05T00:00:00"/>
        <d v="2023-09-02T00:00:00"/>
        <s v="5/13/2023"/>
        <d v="2023-12-07T00:00:00"/>
        <s v="7/20/2023"/>
        <d v="2023-08-11T00:00:00"/>
        <s v="11/22/2023"/>
        <s v="6/17/2023"/>
        <d v="2023-02-05T00:00:00"/>
        <s v="7/23/2023"/>
        <s v="7/28/2023"/>
        <d v="2023-03-06T00:00:00"/>
        <s v="11/23/2023"/>
        <d v="2023-05-04T00:00:00"/>
        <s v="8/18/2023"/>
        <s v="3/23/2023"/>
        <s v="8/24/2023"/>
        <s v="7/26/2023"/>
        <s v="3/25/2023"/>
      </sharedItems>
    </cacheField>
    <cacheField name="Customer Name" numFmtId="0">
      <sharedItems/>
    </cacheField>
    <cacheField name="City" numFmtId="0">
      <sharedItems count="15">
        <s v="Nagpur"/>
        <s v="Coimbatore"/>
        <s v="Bengaluru"/>
        <s v="Madurai"/>
        <s v="Mumbai"/>
        <s v="Chennai"/>
        <s v="Mysuru"/>
        <s v="Ahmedabad"/>
        <s v="Dwarka"/>
        <s v="Pune"/>
        <s v="Surat"/>
        <s v="Karol Bagh"/>
        <s v="Hubli"/>
        <s v="New Delhi"/>
        <s v="Vadodara"/>
      </sharedItems>
    </cacheField>
    <cacheField name="State" numFmtId="0">
      <sharedItems count="5">
        <s v="Maharashtra"/>
        <s v="Tamil Nadu"/>
        <s v="Karnataka"/>
        <s v="Gujarat"/>
        <s v="Delhi"/>
      </sharedItems>
    </cacheField>
    <cacheField name="Region" numFmtId="0">
      <sharedItems/>
    </cacheField>
    <cacheField name="Product Category" numFmtId="0">
      <sharedItems count="5">
        <s v="Furniture"/>
        <s v="Stationery"/>
        <s v="Clothing"/>
        <s v="Groceries"/>
        <s v="Electronics"/>
      </sharedItems>
    </cacheField>
    <cacheField name="Product Name" numFmtId="0">
      <sharedItems/>
    </cacheField>
    <cacheField name="Quantity" numFmtId="0">
      <sharedItems containsSemiMixedTypes="0" containsString="0" containsNumber="1" containsInteger="1" minValue="1" maxValue="20"/>
    </cacheField>
    <cacheField name="Price per Unit" numFmtId="0">
      <sharedItems containsSemiMixedTypes="0" containsString="0" containsNumber="1" minValue="102.62" maxValue="4997.45"/>
    </cacheField>
    <cacheField name="Sales Amount" numFmtId="0">
      <sharedItems containsSemiMixedTypes="0" containsString="0" containsNumber="1" minValue="403.2" maxValue="99406.6"/>
    </cacheField>
  </cacheFields>
  <extLst>
    <ext xmlns:x14="http://schemas.microsoft.com/office/spreadsheetml/2009/9/main" uri="{725AE2AE-9491-48be-B2B4-4EB974FC3084}">
      <x14:pivotCacheDefinition pivotCacheId="1438339393"/>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6195.847505555554" createdVersion="8" refreshedVersion="8" minRefreshableVersion="3" recordCount="141" xr:uid="{C13A3FCE-D654-4EBE-95EE-94706847D087}">
  <cacheSource type="worksheet">
    <worksheetSource ref="A1:L142" sheet="Raw Data"/>
  </cacheSource>
  <cacheFields count="12">
    <cacheField name="Emp Code" numFmtId="0">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2" maxValue="0.71399999999999997"/>
    </cacheField>
  </cacheFields>
  <extLst>
    <ext xmlns:x14="http://schemas.microsoft.com/office/spreadsheetml/2009/9/main" uri="{725AE2AE-9491-48be-B2B4-4EB974FC3084}">
      <x14:pivotCacheDefinition pivotCacheId="73821912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x v="0"/>
    <s v="Meera"/>
    <x v="0"/>
    <x v="0"/>
    <s v="West"/>
    <x v="0"/>
    <s v="Table"/>
    <n v="6"/>
    <n v="4016.25"/>
    <n v="24097.5"/>
  </r>
  <r>
    <x v="1"/>
    <s v="Vihaan"/>
    <x v="1"/>
    <x v="1"/>
    <s v="South"/>
    <x v="1"/>
    <s v="Ruler"/>
    <n v="9"/>
    <n v="3801.85"/>
    <n v="34216.65"/>
  </r>
  <r>
    <x v="2"/>
    <s v="Nishant"/>
    <x v="2"/>
    <x v="2"/>
    <s v="South"/>
    <x v="1"/>
    <s v="Ruler"/>
    <n v="11"/>
    <n v="3594.07"/>
    <n v="39534.769999999997"/>
  </r>
  <r>
    <x v="3"/>
    <s v="Vihaan"/>
    <x v="3"/>
    <x v="1"/>
    <s v="South"/>
    <x v="2"/>
    <s v="Dress"/>
    <n v="9"/>
    <n v="4487"/>
    <n v="40383"/>
  </r>
  <r>
    <x v="4"/>
    <s v="Aditi"/>
    <x v="4"/>
    <x v="0"/>
    <s v="West"/>
    <x v="3"/>
    <s v="Lentils"/>
    <n v="17"/>
    <n v="1240.77"/>
    <n v="21093.09"/>
  </r>
  <r>
    <x v="5"/>
    <s v="Ishita"/>
    <x v="5"/>
    <x v="1"/>
    <s v="South"/>
    <x v="1"/>
    <s v="Eraser"/>
    <n v="7"/>
    <n v="4772.29"/>
    <n v="33406.03"/>
  </r>
  <r>
    <x v="6"/>
    <s v="Aarav"/>
    <x v="6"/>
    <x v="2"/>
    <s v="South"/>
    <x v="4"/>
    <s v="Headphones"/>
    <n v="5"/>
    <n v="2196.9899999999998"/>
    <n v="10984.95"/>
  </r>
  <r>
    <x v="5"/>
    <s v="Riya"/>
    <x v="7"/>
    <x v="3"/>
    <s v="West"/>
    <x v="2"/>
    <s v="Dress"/>
    <n v="5"/>
    <n v="967.6"/>
    <n v="4838"/>
  </r>
  <r>
    <x v="7"/>
    <s v="Vihaan"/>
    <x v="3"/>
    <x v="1"/>
    <s v="South"/>
    <x v="1"/>
    <s v="Ruler"/>
    <n v="18"/>
    <n v="3128.59"/>
    <n v="56314.62"/>
  </r>
  <r>
    <x v="8"/>
    <s v="Nishant"/>
    <x v="5"/>
    <x v="1"/>
    <s v="South"/>
    <x v="0"/>
    <s v="Table"/>
    <n v="10"/>
    <n v="2754.3"/>
    <n v="27543"/>
  </r>
  <r>
    <x v="9"/>
    <s v="Vihaan"/>
    <x v="7"/>
    <x v="3"/>
    <s v="West"/>
    <x v="4"/>
    <s v="Laptop"/>
    <n v="19"/>
    <n v="4896.3100000000004"/>
    <n v="93029.89"/>
  </r>
  <r>
    <x v="10"/>
    <s v="Aarav"/>
    <x v="6"/>
    <x v="2"/>
    <s v="South"/>
    <x v="2"/>
    <s v="Pants"/>
    <n v="19"/>
    <n v="4562.0200000000004"/>
    <n v="86678.38"/>
  </r>
  <r>
    <x v="11"/>
    <s v="Ishita"/>
    <x v="4"/>
    <x v="0"/>
    <s v="West"/>
    <x v="1"/>
    <s v="Eraser"/>
    <n v="6"/>
    <n v="4231.7700000000004"/>
    <n v="25390.62"/>
  </r>
  <r>
    <x v="12"/>
    <s v="Aryan"/>
    <x v="7"/>
    <x v="3"/>
    <s v="West"/>
    <x v="2"/>
    <s v="Shirt"/>
    <n v="20"/>
    <n v="1027.53"/>
    <n v="20550.599999999999"/>
  </r>
  <r>
    <x v="13"/>
    <s v="Ananya"/>
    <x v="0"/>
    <x v="0"/>
    <s v="West"/>
    <x v="2"/>
    <s v="Pants"/>
    <n v="7"/>
    <n v="1257.3399999999999"/>
    <n v="8801.3799999999992"/>
  </r>
  <r>
    <x v="14"/>
    <s v="Aarav"/>
    <x v="8"/>
    <x v="4"/>
    <s v="North"/>
    <x v="2"/>
    <s v="Shirt"/>
    <n v="9"/>
    <n v="2634.14"/>
    <n v="23707.26"/>
  </r>
  <r>
    <x v="15"/>
    <s v="Aditi"/>
    <x v="9"/>
    <x v="0"/>
    <s v="West"/>
    <x v="0"/>
    <s v="Table"/>
    <n v="11"/>
    <n v="4509.49"/>
    <n v="49604.39"/>
  </r>
  <r>
    <x v="16"/>
    <s v="Ishita"/>
    <x v="10"/>
    <x v="3"/>
    <s v="West"/>
    <x v="3"/>
    <s v="Rice"/>
    <n v="3"/>
    <n v="2738.83"/>
    <n v="8216.49"/>
  </r>
  <r>
    <x v="17"/>
    <s v="Ishita"/>
    <x v="0"/>
    <x v="0"/>
    <s v="West"/>
    <x v="2"/>
    <s v="Dress"/>
    <n v="10"/>
    <n v="4247.74"/>
    <n v="42477.4"/>
  </r>
  <r>
    <x v="9"/>
    <s v="Nishant"/>
    <x v="6"/>
    <x v="2"/>
    <s v="South"/>
    <x v="1"/>
    <s v="Eraser"/>
    <n v="3"/>
    <n v="1133.19"/>
    <n v="3399.57"/>
  </r>
  <r>
    <x v="18"/>
    <s v="Kabir"/>
    <x v="11"/>
    <x v="4"/>
    <s v="North"/>
    <x v="4"/>
    <s v="Laptop"/>
    <n v="6"/>
    <n v="623.22"/>
    <n v="3739.32"/>
  </r>
  <r>
    <x v="19"/>
    <s v="Aditi"/>
    <x v="1"/>
    <x v="1"/>
    <s v="South"/>
    <x v="1"/>
    <s v="Ruler"/>
    <n v="18"/>
    <n v="698.42"/>
    <n v="12571.56"/>
  </r>
  <r>
    <x v="20"/>
    <s v="Riya"/>
    <x v="12"/>
    <x v="2"/>
    <s v="South"/>
    <x v="3"/>
    <s v="Sugar"/>
    <n v="19"/>
    <n v="2494.11"/>
    <n v="47388.09"/>
  </r>
  <r>
    <x v="21"/>
    <s v="Aarav"/>
    <x v="5"/>
    <x v="1"/>
    <s v="South"/>
    <x v="3"/>
    <s v="Sugar"/>
    <n v="15"/>
    <n v="3368.77"/>
    <n v="50531.55"/>
  </r>
  <r>
    <x v="22"/>
    <s v="Nishant"/>
    <x v="6"/>
    <x v="2"/>
    <s v="South"/>
    <x v="0"/>
    <s v="Bed"/>
    <n v="2"/>
    <n v="962.28"/>
    <n v="1924.56"/>
  </r>
  <r>
    <x v="23"/>
    <s v="Kabir"/>
    <x v="9"/>
    <x v="0"/>
    <s v="West"/>
    <x v="2"/>
    <s v="Shirt"/>
    <n v="19"/>
    <n v="1065.27"/>
    <n v="20240.13"/>
  </r>
  <r>
    <x v="24"/>
    <s v="Kabir"/>
    <x v="7"/>
    <x v="3"/>
    <s v="West"/>
    <x v="3"/>
    <s v="Rice"/>
    <n v="10"/>
    <n v="4507.62"/>
    <n v="45076.2"/>
  </r>
  <r>
    <x v="25"/>
    <s v="Aditi"/>
    <x v="11"/>
    <x v="4"/>
    <s v="North"/>
    <x v="2"/>
    <s v="Pants"/>
    <n v="4"/>
    <n v="4373.75"/>
    <n v="17495"/>
  </r>
  <r>
    <x v="26"/>
    <s v="Aryan"/>
    <x v="1"/>
    <x v="1"/>
    <s v="South"/>
    <x v="2"/>
    <s v="Pants"/>
    <n v="4"/>
    <n v="791.28"/>
    <n v="3165.12"/>
  </r>
  <r>
    <x v="27"/>
    <s v="Riya"/>
    <x v="6"/>
    <x v="2"/>
    <s v="South"/>
    <x v="3"/>
    <s v="Lentils"/>
    <n v="14"/>
    <n v="4868.33"/>
    <n v="68156.62"/>
  </r>
  <r>
    <x v="14"/>
    <s v="Aarav"/>
    <x v="8"/>
    <x v="4"/>
    <s v="North"/>
    <x v="2"/>
    <s v="Shirt"/>
    <n v="12"/>
    <n v="1958.77"/>
    <n v="23505.24"/>
  </r>
  <r>
    <x v="28"/>
    <s v="Nishant"/>
    <x v="9"/>
    <x v="0"/>
    <s v="West"/>
    <x v="1"/>
    <s v="Eraser"/>
    <n v="10"/>
    <n v="3690.75"/>
    <n v="36907.5"/>
  </r>
  <r>
    <x v="29"/>
    <s v="Nishant"/>
    <x v="7"/>
    <x v="3"/>
    <s v="West"/>
    <x v="1"/>
    <s v="Eraser"/>
    <n v="17"/>
    <n v="1037.05"/>
    <n v="17629.849999999999"/>
  </r>
  <r>
    <x v="30"/>
    <s v="Ananya"/>
    <x v="12"/>
    <x v="2"/>
    <s v="South"/>
    <x v="3"/>
    <s v="Oil"/>
    <n v="17"/>
    <n v="2215.5500000000002"/>
    <n v="37664.35"/>
  </r>
  <r>
    <x v="31"/>
    <s v="Ananya"/>
    <x v="3"/>
    <x v="1"/>
    <s v="South"/>
    <x v="2"/>
    <s v="Jacket"/>
    <n v="19"/>
    <n v="1343.6"/>
    <n v="25528.400000000001"/>
  </r>
  <r>
    <x v="32"/>
    <s v="Ananya"/>
    <x v="0"/>
    <x v="0"/>
    <s v="West"/>
    <x v="3"/>
    <s v="Lentils"/>
    <n v="8"/>
    <n v="4455.43"/>
    <n v="35643.440000000002"/>
  </r>
  <r>
    <x v="33"/>
    <s v="Riya"/>
    <x v="5"/>
    <x v="1"/>
    <s v="South"/>
    <x v="1"/>
    <s v="Pen"/>
    <n v="9"/>
    <n v="3892.79"/>
    <n v="35035.11"/>
  </r>
  <r>
    <x v="20"/>
    <s v="Riya"/>
    <x v="11"/>
    <x v="4"/>
    <s v="North"/>
    <x v="4"/>
    <s v="Laptop"/>
    <n v="9"/>
    <n v="4618.59"/>
    <n v="41567.31"/>
  </r>
  <r>
    <x v="34"/>
    <s v="Aryan"/>
    <x v="12"/>
    <x v="2"/>
    <s v="South"/>
    <x v="2"/>
    <s v="Jacket"/>
    <n v="11"/>
    <n v="3385.93"/>
    <n v="37245.230000000003"/>
  </r>
  <r>
    <x v="35"/>
    <s v="Riya"/>
    <x v="7"/>
    <x v="3"/>
    <s v="West"/>
    <x v="1"/>
    <s v="Eraser"/>
    <n v="14"/>
    <n v="2452.98"/>
    <n v="34341.72"/>
  </r>
  <r>
    <x v="36"/>
    <s v="Meera"/>
    <x v="2"/>
    <x v="2"/>
    <s v="South"/>
    <x v="4"/>
    <s v="Headphones"/>
    <n v="16"/>
    <n v="695.96"/>
    <n v="11135.36"/>
  </r>
  <r>
    <x v="37"/>
    <s v="Aditi"/>
    <x v="7"/>
    <x v="3"/>
    <s v="West"/>
    <x v="4"/>
    <s v="Smartphone"/>
    <n v="1"/>
    <n v="1979.54"/>
    <n v="1979.54"/>
  </r>
  <r>
    <x v="38"/>
    <s v="Aarav"/>
    <x v="11"/>
    <x v="4"/>
    <s v="North"/>
    <x v="1"/>
    <s v="Ruler"/>
    <n v="9"/>
    <n v="3727.82"/>
    <n v="33550.379999999997"/>
  </r>
  <r>
    <x v="39"/>
    <s v="Meera"/>
    <x v="10"/>
    <x v="3"/>
    <s v="West"/>
    <x v="3"/>
    <s v="Oil"/>
    <n v="1"/>
    <n v="1495.61"/>
    <n v="1495.61"/>
  </r>
  <r>
    <x v="40"/>
    <s v="Aryan"/>
    <x v="4"/>
    <x v="0"/>
    <s v="West"/>
    <x v="2"/>
    <s v="Pants"/>
    <n v="18"/>
    <n v="1928.15"/>
    <n v="34706.699999999997"/>
  </r>
  <r>
    <x v="41"/>
    <s v="Ishita"/>
    <x v="4"/>
    <x v="0"/>
    <s v="West"/>
    <x v="1"/>
    <s v="Eraser"/>
    <n v="1"/>
    <n v="4192.3900000000003"/>
    <n v="4192.3900000000003"/>
  </r>
  <r>
    <x v="42"/>
    <s v="Aryan"/>
    <x v="5"/>
    <x v="1"/>
    <s v="South"/>
    <x v="4"/>
    <s v="Tablet"/>
    <n v="7"/>
    <n v="4988.71"/>
    <n v="34920.97"/>
  </r>
  <r>
    <x v="43"/>
    <s v="Riya"/>
    <x v="12"/>
    <x v="2"/>
    <s v="South"/>
    <x v="2"/>
    <s v="Pants"/>
    <n v="9"/>
    <n v="1328.13"/>
    <n v="11953.17"/>
  </r>
  <r>
    <x v="44"/>
    <s v="Aryan"/>
    <x v="9"/>
    <x v="0"/>
    <s v="West"/>
    <x v="0"/>
    <s v="Sofa"/>
    <n v="9"/>
    <n v="722.44"/>
    <n v="6501.96"/>
  </r>
  <r>
    <x v="45"/>
    <s v="Nishant"/>
    <x v="0"/>
    <x v="0"/>
    <s v="West"/>
    <x v="2"/>
    <s v="Pants"/>
    <n v="2"/>
    <n v="4726.0600000000004"/>
    <n v="9452.1200000000008"/>
  </r>
  <r>
    <x v="46"/>
    <s v="Riya"/>
    <x v="2"/>
    <x v="2"/>
    <s v="South"/>
    <x v="2"/>
    <s v="Shirt"/>
    <n v="3"/>
    <n v="2263.4699999999998"/>
    <n v="6790.41"/>
  </r>
  <r>
    <x v="47"/>
    <s v="Nishant"/>
    <x v="6"/>
    <x v="2"/>
    <s v="South"/>
    <x v="0"/>
    <s v="Bed"/>
    <n v="20"/>
    <n v="4365.58"/>
    <n v="87311.6"/>
  </r>
  <r>
    <x v="48"/>
    <s v="Ananya"/>
    <x v="13"/>
    <x v="4"/>
    <s v="North"/>
    <x v="4"/>
    <s v="Headphones"/>
    <n v="20"/>
    <n v="3925.65"/>
    <n v="78513"/>
  </r>
  <r>
    <x v="49"/>
    <s v="Vihaan"/>
    <x v="5"/>
    <x v="1"/>
    <s v="South"/>
    <x v="0"/>
    <s v="Sofa"/>
    <n v="3"/>
    <n v="3613.98"/>
    <n v="10841.94"/>
  </r>
  <r>
    <x v="50"/>
    <s v="Aryan"/>
    <x v="4"/>
    <x v="0"/>
    <s v="West"/>
    <x v="1"/>
    <s v="Pen"/>
    <n v="7"/>
    <n v="2483.54"/>
    <n v="17384.78"/>
  </r>
  <r>
    <x v="51"/>
    <s v="Ishita"/>
    <x v="8"/>
    <x v="4"/>
    <s v="North"/>
    <x v="0"/>
    <s v="Sofa"/>
    <n v="14"/>
    <n v="2145.21"/>
    <n v="30032.94"/>
  </r>
  <r>
    <x v="52"/>
    <s v="Aryan"/>
    <x v="12"/>
    <x v="2"/>
    <s v="South"/>
    <x v="4"/>
    <s v="Smartphone"/>
    <n v="8"/>
    <n v="4997.45"/>
    <n v="39979.599999999999"/>
  </r>
  <r>
    <x v="53"/>
    <s v="Ananya"/>
    <x v="7"/>
    <x v="3"/>
    <s v="West"/>
    <x v="4"/>
    <s v="Laptop"/>
    <n v="3"/>
    <n v="1753.98"/>
    <n v="5261.94"/>
  </r>
  <r>
    <x v="54"/>
    <s v="Aarav"/>
    <x v="6"/>
    <x v="2"/>
    <s v="South"/>
    <x v="4"/>
    <s v="Smartphone"/>
    <n v="2"/>
    <n v="1207.92"/>
    <n v="2415.84"/>
  </r>
  <r>
    <x v="55"/>
    <s v="Aditi"/>
    <x v="9"/>
    <x v="0"/>
    <s v="West"/>
    <x v="4"/>
    <s v="Tablet"/>
    <n v="13"/>
    <n v="4196.33"/>
    <n v="54552.29"/>
  </r>
  <r>
    <x v="56"/>
    <s v="Kabir"/>
    <x v="14"/>
    <x v="3"/>
    <s v="West"/>
    <x v="1"/>
    <s v="Ruler"/>
    <n v="18"/>
    <n v="1310.78"/>
    <n v="23594.04"/>
  </r>
  <r>
    <x v="57"/>
    <s v="Ananya"/>
    <x v="9"/>
    <x v="0"/>
    <s v="West"/>
    <x v="0"/>
    <s v="Sofa"/>
    <n v="20"/>
    <n v="2142.9"/>
    <n v="42858"/>
  </r>
  <r>
    <x v="58"/>
    <s v="Kabir"/>
    <x v="13"/>
    <x v="4"/>
    <s v="North"/>
    <x v="4"/>
    <s v="Tablet"/>
    <n v="19"/>
    <n v="1359.7"/>
    <n v="25834.3"/>
  </r>
  <r>
    <x v="59"/>
    <s v="Meera"/>
    <x v="12"/>
    <x v="2"/>
    <s v="South"/>
    <x v="0"/>
    <s v="Sofa"/>
    <n v="16"/>
    <n v="4896.07"/>
    <n v="78337.119999999995"/>
  </r>
  <r>
    <x v="60"/>
    <s v="Ishita"/>
    <x v="2"/>
    <x v="2"/>
    <s v="South"/>
    <x v="1"/>
    <s v="Pen"/>
    <n v="8"/>
    <n v="4216.03"/>
    <n v="33728.239999999998"/>
  </r>
  <r>
    <x v="61"/>
    <s v="Aditi"/>
    <x v="9"/>
    <x v="0"/>
    <s v="West"/>
    <x v="3"/>
    <s v="Rice"/>
    <n v="14"/>
    <n v="2134.06"/>
    <n v="29876.84"/>
  </r>
  <r>
    <x v="62"/>
    <s v="Kabir"/>
    <x v="8"/>
    <x v="4"/>
    <s v="North"/>
    <x v="0"/>
    <s v="Bed"/>
    <n v="6"/>
    <n v="1523.33"/>
    <n v="9139.98"/>
  </r>
  <r>
    <x v="63"/>
    <s v="Nishant"/>
    <x v="3"/>
    <x v="1"/>
    <s v="South"/>
    <x v="3"/>
    <s v="Lentils"/>
    <n v="13"/>
    <n v="646.63"/>
    <n v="8406.19"/>
  </r>
  <r>
    <x v="38"/>
    <s v="Aarav"/>
    <x v="12"/>
    <x v="2"/>
    <s v="South"/>
    <x v="1"/>
    <s v="Notebook"/>
    <n v="4"/>
    <n v="4965.34"/>
    <n v="19861.36"/>
  </r>
  <r>
    <x v="64"/>
    <s v="Aryan"/>
    <x v="9"/>
    <x v="0"/>
    <s v="West"/>
    <x v="1"/>
    <s v="Eraser"/>
    <n v="14"/>
    <n v="2883.11"/>
    <n v="40363.54"/>
  </r>
  <r>
    <x v="65"/>
    <s v="Ishita"/>
    <x v="11"/>
    <x v="4"/>
    <s v="North"/>
    <x v="3"/>
    <s v="Rice"/>
    <n v="9"/>
    <n v="2819.87"/>
    <n v="25378.83"/>
  </r>
  <r>
    <x v="8"/>
    <s v="Aditi"/>
    <x v="4"/>
    <x v="0"/>
    <s v="West"/>
    <x v="2"/>
    <s v="Dress"/>
    <n v="12"/>
    <n v="3961.23"/>
    <n v="47534.76"/>
  </r>
  <r>
    <x v="66"/>
    <s v="Aarav"/>
    <x v="3"/>
    <x v="1"/>
    <s v="South"/>
    <x v="2"/>
    <s v="Dress"/>
    <n v="15"/>
    <n v="2194.7199999999998"/>
    <n v="32920.800000000003"/>
  </r>
  <r>
    <x v="67"/>
    <s v="Ishita"/>
    <x v="6"/>
    <x v="2"/>
    <s v="South"/>
    <x v="4"/>
    <s v="Smartphone"/>
    <n v="5"/>
    <n v="3058.74"/>
    <n v="15293.7"/>
  </r>
  <r>
    <x v="68"/>
    <s v="Riya"/>
    <x v="4"/>
    <x v="0"/>
    <s v="West"/>
    <x v="2"/>
    <s v="Dress"/>
    <n v="11"/>
    <n v="827.59"/>
    <n v="9103.49"/>
  </r>
  <r>
    <x v="69"/>
    <s v="Aryan"/>
    <x v="3"/>
    <x v="1"/>
    <s v="South"/>
    <x v="4"/>
    <s v="Tablet"/>
    <n v="10"/>
    <n v="2008.29"/>
    <n v="20082.900000000001"/>
  </r>
  <r>
    <x v="16"/>
    <s v="Riya"/>
    <x v="10"/>
    <x v="3"/>
    <s v="West"/>
    <x v="2"/>
    <s v="Pants"/>
    <n v="3"/>
    <n v="4157.17"/>
    <n v="12471.51"/>
  </r>
  <r>
    <x v="70"/>
    <s v="Aditi"/>
    <x v="12"/>
    <x v="2"/>
    <s v="South"/>
    <x v="0"/>
    <s v="Chair"/>
    <n v="19"/>
    <n v="2880.28"/>
    <n v="54725.32"/>
  </r>
  <r>
    <x v="71"/>
    <s v="Kabir"/>
    <x v="7"/>
    <x v="3"/>
    <s v="West"/>
    <x v="4"/>
    <s v="Laptop"/>
    <n v="6"/>
    <n v="1212.76"/>
    <n v="7276.56"/>
  </r>
  <r>
    <x v="72"/>
    <s v="Ishita"/>
    <x v="14"/>
    <x v="3"/>
    <s v="West"/>
    <x v="4"/>
    <s v="Smartphone"/>
    <n v="11"/>
    <n v="4463.4799999999996"/>
    <n v="49098.28"/>
  </r>
  <r>
    <x v="50"/>
    <s v="Aryan"/>
    <x v="6"/>
    <x v="2"/>
    <s v="South"/>
    <x v="1"/>
    <s v="Eraser"/>
    <n v="17"/>
    <n v="3975.74"/>
    <n v="67587.58"/>
  </r>
  <r>
    <x v="73"/>
    <s v="Meera"/>
    <x v="1"/>
    <x v="1"/>
    <s v="South"/>
    <x v="2"/>
    <s v="Shirt"/>
    <n v="15"/>
    <n v="2158.2199999999998"/>
    <n v="32373.3"/>
  </r>
  <r>
    <x v="74"/>
    <s v="Nishant"/>
    <x v="10"/>
    <x v="3"/>
    <s v="West"/>
    <x v="2"/>
    <s v="Pants"/>
    <n v="17"/>
    <n v="1720.9"/>
    <n v="29255.3"/>
  </r>
  <r>
    <x v="75"/>
    <s v="Riya"/>
    <x v="4"/>
    <x v="0"/>
    <s v="West"/>
    <x v="2"/>
    <s v="Dress"/>
    <n v="11"/>
    <n v="3562.92"/>
    <n v="39192.120000000003"/>
  </r>
  <r>
    <x v="76"/>
    <s v="Ishita"/>
    <x v="4"/>
    <x v="0"/>
    <s v="West"/>
    <x v="1"/>
    <s v="Eraser"/>
    <n v="17"/>
    <n v="608.79"/>
    <n v="10349.43"/>
  </r>
  <r>
    <x v="43"/>
    <s v="Aarav"/>
    <x v="7"/>
    <x v="3"/>
    <s v="West"/>
    <x v="3"/>
    <s v="Lentils"/>
    <n v="20"/>
    <n v="4856.17"/>
    <n v="97123.4"/>
  </r>
  <r>
    <x v="63"/>
    <s v="Kabir"/>
    <x v="8"/>
    <x v="4"/>
    <s v="North"/>
    <x v="1"/>
    <s v="Ruler"/>
    <n v="12"/>
    <n v="4298"/>
    <n v="51576"/>
  </r>
  <r>
    <x v="77"/>
    <s v="Ishita"/>
    <x v="11"/>
    <x v="4"/>
    <s v="North"/>
    <x v="4"/>
    <s v="Smartphone"/>
    <n v="7"/>
    <n v="1160.3499999999999"/>
    <n v="8122.45"/>
  </r>
  <r>
    <x v="4"/>
    <s v="Riya"/>
    <x v="8"/>
    <x v="4"/>
    <s v="North"/>
    <x v="2"/>
    <s v="Pants"/>
    <n v="3"/>
    <n v="2488.34"/>
    <n v="7465.02"/>
  </r>
  <r>
    <x v="73"/>
    <s v="Nishant"/>
    <x v="1"/>
    <x v="1"/>
    <s v="South"/>
    <x v="0"/>
    <s v="Sofa"/>
    <n v="8"/>
    <n v="1990"/>
    <n v="15920"/>
  </r>
  <r>
    <x v="78"/>
    <s v="Aarav"/>
    <x v="14"/>
    <x v="3"/>
    <s v="West"/>
    <x v="4"/>
    <s v="Smartphone"/>
    <n v="20"/>
    <n v="2446.21"/>
    <n v="48924.2"/>
  </r>
  <r>
    <x v="79"/>
    <s v="Aditi"/>
    <x v="12"/>
    <x v="2"/>
    <s v="South"/>
    <x v="1"/>
    <s v="Notebook"/>
    <n v="11"/>
    <n v="1841.84"/>
    <n v="20260.240000000002"/>
  </r>
  <r>
    <x v="80"/>
    <s v="Aarav"/>
    <x v="13"/>
    <x v="4"/>
    <s v="North"/>
    <x v="4"/>
    <s v="Headphones"/>
    <n v="5"/>
    <n v="3289.83"/>
    <n v="16449.150000000001"/>
  </r>
  <r>
    <x v="81"/>
    <s v="Riya"/>
    <x v="4"/>
    <x v="0"/>
    <s v="West"/>
    <x v="3"/>
    <s v="Sugar"/>
    <n v="6"/>
    <n v="549.79999999999995"/>
    <n v="3298.8"/>
  </r>
  <r>
    <x v="82"/>
    <s v="Aryan"/>
    <x v="3"/>
    <x v="1"/>
    <s v="South"/>
    <x v="4"/>
    <s v="Headphones"/>
    <n v="20"/>
    <n v="4397.46"/>
    <n v="87949.2"/>
  </r>
  <r>
    <x v="83"/>
    <s v="Riya"/>
    <x v="2"/>
    <x v="2"/>
    <s v="South"/>
    <x v="3"/>
    <s v="Lentils"/>
    <n v="3"/>
    <n v="3107.88"/>
    <n v="9323.64"/>
  </r>
  <r>
    <x v="52"/>
    <s v="Meera"/>
    <x v="10"/>
    <x v="3"/>
    <s v="West"/>
    <x v="0"/>
    <s v="Chair"/>
    <n v="11"/>
    <n v="1451.86"/>
    <n v="15970.46"/>
  </r>
  <r>
    <x v="84"/>
    <s v="Riya"/>
    <x v="1"/>
    <x v="1"/>
    <s v="South"/>
    <x v="3"/>
    <s v="Oil"/>
    <n v="13"/>
    <n v="4087.03"/>
    <n v="53131.39"/>
  </r>
  <r>
    <x v="85"/>
    <s v="Meera"/>
    <x v="8"/>
    <x v="4"/>
    <s v="North"/>
    <x v="1"/>
    <s v="Ruler"/>
    <n v="12"/>
    <n v="3040.08"/>
    <n v="36480.959999999999"/>
  </r>
  <r>
    <x v="69"/>
    <s v="Aarav"/>
    <x v="13"/>
    <x v="4"/>
    <s v="North"/>
    <x v="3"/>
    <s v="Sugar"/>
    <n v="19"/>
    <n v="3968.42"/>
    <n v="75399.98"/>
  </r>
  <r>
    <x v="86"/>
    <s v="Kabir"/>
    <x v="6"/>
    <x v="2"/>
    <s v="South"/>
    <x v="4"/>
    <s v="Laptop"/>
    <n v="4"/>
    <n v="894.64"/>
    <n v="3578.56"/>
  </r>
  <r>
    <x v="87"/>
    <s v="Riya"/>
    <x v="6"/>
    <x v="2"/>
    <s v="South"/>
    <x v="3"/>
    <s v="Oil"/>
    <n v="20"/>
    <n v="1787.99"/>
    <n v="35759.800000000003"/>
  </r>
  <r>
    <x v="88"/>
    <s v="Meera"/>
    <x v="4"/>
    <x v="0"/>
    <s v="West"/>
    <x v="0"/>
    <s v="Bed"/>
    <n v="17"/>
    <n v="2910.12"/>
    <n v="49472.04"/>
  </r>
  <r>
    <x v="82"/>
    <s v="Kabir"/>
    <x v="1"/>
    <x v="1"/>
    <s v="South"/>
    <x v="3"/>
    <s v="Lentils"/>
    <n v="16"/>
    <n v="827.8"/>
    <n v="13244.8"/>
  </r>
  <r>
    <x v="89"/>
    <s v="Nishant"/>
    <x v="8"/>
    <x v="4"/>
    <s v="North"/>
    <x v="1"/>
    <s v="Eraser"/>
    <n v="18"/>
    <n v="3093.44"/>
    <n v="55681.919999999998"/>
  </r>
  <r>
    <x v="90"/>
    <s v="Riya"/>
    <x v="5"/>
    <x v="1"/>
    <s v="South"/>
    <x v="2"/>
    <s v="Shirt"/>
    <n v="10"/>
    <n v="2469.04"/>
    <n v="24690.400000000001"/>
  </r>
  <r>
    <x v="91"/>
    <s v="Nishant"/>
    <x v="5"/>
    <x v="1"/>
    <s v="South"/>
    <x v="1"/>
    <s v="Ruler"/>
    <n v="12"/>
    <n v="2127.2800000000002"/>
    <n v="25527.360000000001"/>
  </r>
  <r>
    <x v="92"/>
    <s v="Aarav"/>
    <x v="5"/>
    <x v="1"/>
    <s v="South"/>
    <x v="4"/>
    <s v="Laptop"/>
    <n v="1"/>
    <n v="1811.76"/>
    <n v="1811.76"/>
  </r>
  <r>
    <x v="93"/>
    <s v="Ananya"/>
    <x v="12"/>
    <x v="2"/>
    <s v="South"/>
    <x v="0"/>
    <s v="Bed"/>
    <n v="4"/>
    <n v="4485.82"/>
    <n v="17943.28"/>
  </r>
  <r>
    <x v="94"/>
    <s v="Ananya"/>
    <x v="6"/>
    <x v="2"/>
    <s v="South"/>
    <x v="4"/>
    <s v="Laptop"/>
    <n v="8"/>
    <n v="4649.3500000000004"/>
    <n v="37194.800000000003"/>
  </r>
  <r>
    <x v="95"/>
    <s v="Vihaan"/>
    <x v="3"/>
    <x v="1"/>
    <s v="South"/>
    <x v="0"/>
    <s v="Chair"/>
    <n v="3"/>
    <n v="4027.17"/>
    <n v="12081.51"/>
  </r>
  <r>
    <x v="96"/>
    <s v="Ananya"/>
    <x v="13"/>
    <x v="4"/>
    <s v="North"/>
    <x v="4"/>
    <s v="Smartphone"/>
    <n v="14"/>
    <n v="4406.29"/>
    <n v="61688.06"/>
  </r>
  <r>
    <x v="97"/>
    <s v="Vihaan"/>
    <x v="5"/>
    <x v="1"/>
    <s v="South"/>
    <x v="3"/>
    <s v="Sugar"/>
    <n v="20"/>
    <n v="4072.4"/>
    <n v="81448"/>
  </r>
  <r>
    <x v="98"/>
    <s v="Ishita"/>
    <x v="13"/>
    <x v="4"/>
    <s v="North"/>
    <x v="3"/>
    <s v="Oil"/>
    <n v="1"/>
    <n v="4801.38"/>
    <n v="4801.38"/>
  </r>
  <r>
    <x v="99"/>
    <s v="Riya"/>
    <x v="2"/>
    <x v="2"/>
    <s v="South"/>
    <x v="2"/>
    <s v="Shirt"/>
    <n v="17"/>
    <n v="828.26"/>
    <n v="14080.42"/>
  </r>
  <r>
    <x v="100"/>
    <s v="Aditi"/>
    <x v="10"/>
    <x v="3"/>
    <s v="West"/>
    <x v="3"/>
    <s v="Sugar"/>
    <n v="13"/>
    <n v="4331.5"/>
    <n v="56309.5"/>
  </r>
  <r>
    <x v="94"/>
    <s v="Ishita"/>
    <x v="9"/>
    <x v="0"/>
    <s v="West"/>
    <x v="2"/>
    <s v="Shirt"/>
    <n v="14"/>
    <n v="3404.4"/>
    <n v="47661.599999999999"/>
  </r>
  <r>
    <x v="101"/>
    <s v="Ananya"/>
    <x v="0"/>
    <x v="0"/>
    <s v="West"/>
    <x v="0"/>
    <s v="Chair"/>
    <n v="20"/>
    <n v="3734.44"/>
    <n v="74688.800000000003"/>
  </r>
  <r>
    <x v="102"/>
    <s v="Kabir"/>
    <x v="0"/>
    <x v="0"/>
    <s v="West"/>
    <x v="0"/>
    <s v="Bed"/>
    <n v="6"/>
    <n v="112.76"/>
    <n v="676.56"/>
  </r>
  <r>
    <x v="103"/>
    <s v="Kabir"/>
    <x v="11"/>
    <x v="4"/>
    <s v="North"/>
    <x v="4"/>
    <s v="Headphones"/>
    <n v="6"/>
    <n v="4751.7700000000004"/>
    <n v="28510.62"/>
  </r>
  <r>
    <x v="104"/>
    <s v="Nishant"/>
    <x v="10"/>
    <x v="3"/>
    <s v="West"/>
    <x v="3"/>
    <s v="Sugar"/>
    <n v="4"/>
    <n v="3214.1"/>
    <n v="12856.4"/>
  </r>
  <r>
    <x v="105"/>
    <s v="Meera"/>
    <x v="11"/>
    <x v="4"/>
    <s v="North"/>
    <x v="4"/>
    <s v="Laptop"/>
    <n v="20"/>
    <n v="598.97"/>
    <n v="11979.4"/>
  </r>
  <r>
    <x v="39"/>
    <s v="Kabir"/>
    <x v="0"/>
    <x v="0"/>
    <s v="West"/>
    <x v="0"/>
    <s v="Bed"/>
    <n v="15"/>
    <n v="1513.67"/>
    <n v="22705.05"/>
  </r>
  <r>
    <x v="106"/>
    <s v="Riya"/>
    <x v="14"/>
    <x v="3"/>
    <s v="West"/>
    <x v="2"/>
    <s v="Pants"/>
    <n v="6"/>
    <n v="194.62"/>
    <n v="1167.72"/>
  </r>
  <r>
    <x v="80"/>
    <s v="Aryan"/>
    <x v="14"/>
    <x v="3"/>
    <s v="West"/>
    <x v="2"/>
    <s v="Pants"/>
    <n v="6"/>
    <n v="4508.3"/>
    <n v="27049.8"/>
  </r>
  <r>
    <x v="107"/>
    <s v="Aarav"/>
    <x v="7"/>
    <x v="3"/>
    <s v="West"/>
    <x v="0"/>
    <s v="Chair"/>
    <n v="20"/>
    <n v="4055.72"/>
    <n v="81114.399999999994"/>
  </r>
  <r>
    <x v="49"/>
    <s v="Riya"/>
    <x v="3"/>
    <x v="1"/>
    <s v="South"/>
    <x v="0"/>
    <s v="Chair"/>
    <n v="8"/>
    <n v="2986.89"/>
    <n v="23895.119999999999"/>
  </r>
  <r>
    <x v="62"/>
    <s v="Ishita"/>
    <x v="8"/>
    <x v="4"/>
    <s v="North"/>
    <x v="4"/>
    <s v="Smartphone"/>
    <n v="7"/>
    <n v="4933.0600000000004"/>
    <n v="34531.42"/>
  </r>
  <r>
    <x v="108"/>
    <s v="Ananya"/>
    <x v="2"/>
    <x v="2"/>
    <s v="South"/>
    <x v="1"/>
    <s v="Ruler"/>
    <n v="4"/>
    <n v="4837.17"/>
    <n v="19348.68"/>
  </r>
  <r>
    <x v="109"/>
    <s v="Riya"/>
    <x v="11"/>
    <x v="4"/>
    <s v="North"/>
    <x v="1"/>
    <s v="Ruler"/>
    <n v="1"/>
    <n v="4813.2299999999996"/>
    <n v="4813.2299999999996"/>
  </r>
  <r>
    <x v="22"/>
    <s v="Riya"/>
    <x v="6"/>
    <x v="2"/>
    <s v="South"/>
    <x v="2"/>
    <s v="Jacket"/>
    <n v="16"/>
    <n v="3158.66"/>
    <n v="50538.559999999998"/>
  </r>
  <r>
    <x v="110"/>
    <s v="Vihaan"/>
    <x v="0"/>
    <x v="0"/>
    <s v="West"/>
    <x v="4"/>
    <s v="Laptop"/>
    <n v="6"/>
    <n v="2920.43"/>
    <n v="17522.580000000002"/>
  </r>
  <r>
    <x v="111"/>
    <s v="Vihaan"/>
    <x v="0"/>
    <x v="0"/>
    <s v="West"/>
    <x v="2"/>
    <s v="Pants"/>
    <n v="12"/>
    <n v="2170.02"/>
    <n v="26040.240000000002"/>
  </r>
  <r>
    <x v="112"/>
    <s v="Ishita"/>
    <x v="0"/>
    <x v="0"/>
    <s v="West"/>
    <x v="4"/>
    <s v="Headphones"/>
    <n v="2"/>
    <n v="4542.6099999999997"/>
    <n v="9085.2199999999993"/>
  </r>
  <r>
    <x v="5"/>
    <s v="Nishant"/>
    <x v="9"/>
    <x v="0"/>
    <s v="West"/>
    <x v="4"/>
    <s v="Headphones"/>
    <n v="1"/>
    <n v="3091.48"/>
    <n v="3091.48"/>
  </r>
  <r>
    <x v="113"/>
    <s v="Riya"/>
    <x v="10"/>
    <x v="3"/>
    <s v="West"/>
    <x v="0"/>
    <s v="Table"/>
    <n v="3"/>
    <n v="2205.6"/>
    <n v="6616.8"/>
  </r>
  <r>
    <x v="114"/>
    <s v="Nishant"/>
    <x v="0"/>
    <x v="0"/>
    <s v="West"/>
    <x v="4"/>
    <s v="Smartphone"/>
    <n v="10"/>
    <n v="4282.18"/>
    <n v="42821.8"/>
  </r>
  <r>
    <x v="115"/>
    <s v="Ishita"/>
    <x v="2"/>
    <x v="2"/>
    <s v="South"/>
    <x v="1"/>
    <s v="Ruler"/>
    <n v="5"/>
    <n v="4252.84"/>
    <n v="21264.2"/>
  </r>
  <r>
    <x v="116"/>
    <s v="Vihaan"/>
    <x v="13"/>
    <x v="4"/>
    <s v="North"/>
    <x v="0"/>
    <s v="Chair"/>
    <n v="3"/>
    <n v="916.33"/>
    <n v="2748.99"/>
  </r>
  <r>
    <x v="117"/>
    <s v="Vihaan"/>
    <x v="7"/>
    <x v="3"/>
    <s v="West"/>
    <x v="0"/>
    <s v="Chair"/>
    <n v="3"/>
    <n v="1270.1500000000001"/>
    <n v="3810.45"/>
  </r>
  <r>
    <x v="118"/>
    <s v="Nishant"/>
    <x v="1"/>
    <x v="1"/>
    <s v="South"/>
    <x v="0"/>
    <s v="Bed"/>
    <n v="6"/>
    <n v="1750.35"/>
    <n v="10502.1"/>
  </r>
  <r>
    <x v="119"/>
    <s v="Meera"/>
    <x v="1"/>
    <x v="1"/>
    <s v="South"/>
    <x v="3"/>
    <s v="Lentils"/>
    <n v="6"/>
    <n v="1105.03"/>
    <n v="6630.18"/>
  </r>
  <r>
    <x v="120"/>
    <s v="Riya"/>
    <x v="1"/>
    <x v="1"/>
    <s v="South"/>
    <x v="0"/>
    <s v="Table"/>
    <n v="17"/>
    <n v="1801.69"/>
    <n v="30628.73"/>
  </r>
  <r>
    <x v="53"/>
    <s v="Aryan"/>
    <x v="12"/>
    <x v="2"/>
    <s v="South"/>
    <x v="4"/>
    <s v="Headphones"/>
    <n v="19"/>
    <n v="717.29"/>
    <n v="13628.51"/>
  </r>
  <r>
    <x v="79"/>
    <s v="Nishant"/>
    <x v="14"/>
    <x v="3"/>
    <s v="West"/>
    <x v="1"/>
    <s v="Pen"/>
    <n v="2"/>
    <n v="4547.16"/>
    <n v="9094.32"/>
  </r>
  <r>
    <x v="121"/>
    <s v="Riya"/>
    <x v="13"/>
    <x v="4"/>
    <s v="North"/>
    <x v="2"/>
    <s v="Dress"/>
    <n v="2"/>
    <n v="4818.49"/>
    <n v="9636.98"/>
  </r>
  <r>
    <x v="122"/>
    <s v="Aditi"/>
    <x v="5"/>
    <x v="1"/>
    <s v="South"/>
    <x v="1"/>
    <s v="Ruler"/>
    <n v="14"/>
    <n v="1410.91"/>
    <n v="19752.740000000002"/>
  </r>
  <r>
    <x v="123"/>
    <s v="Kabir"/>
    <x v="2"/>
    <x v="2"/>
    <s v="South"/>
    <x v="2"/>
    <s v="Dress"/>
    <n v="20"/>
    <n v="239.35"/>
    <n v="4787"/>
  </r>
  <r>
    <x v="15"/>
    <s v="Ishita"/>
    <x v="14"/>
    <x v="3"/>
    <s v="West"/>
    <x v="1"/>
    <s v="Pen"/>
    <n v="16"/>
    <n v="4096.74"/>
    <n v="65547.839999999997"/>
  </r>
  <r>
    <x v="124"/>
    <s v="Ishita"/>
    <x v="5"/>
    <x v="1"/>
    <s v="South"/>
    <x v="1"/>
    <s v="Eraser"/>
    <n v="14"/>
    <n v="3507.25"/>
    <n v="49101.5"/>
  </r>
  <r>
    <x v="125"/>
    <s v="Aditi"/>
    <x v="9"/>
    <x v="0"/>
    <s v="West"/>
    <x v="1"/>
    <s v="Pen"/>
    <n v="16"/>
    <n v="4507.37"/>
    <n v="72117.919999999998"/>
  </r>
  <r>
    <x v="59"/>
    <s v="Ishita"/>
    <x v="13"/>
    <x v="4"/>
    <s v="North"/>
    <x v="0"/>
    <s v="Bed"/>
    <n v="10"/>
    <n v="239.55"/>
    <n v="2395.5"/>
  </r>
  <r>
    <x v="65"/>
    <s v="Meera"/>
    <x v="0"/>
    <x v="0"/>
    <s v="West"/>
    <x v="1"/>
    <s v="Eraser"/>
    <n v="17"/>
    <n v="679.78"/>
    <n v="11556.26"/>
  </r>
  <r>
    <x v="126"/>
    <s v="Ishita"/>
    <x v="6"/>
    <x v="2"/>
    <s v="South"/>
    <x v="0"/>
    <s v="Chair"/>
    <n v="18"/>
    <n v="2658.57"/>
    <n v="47854.26"/>
  </r>
  <r>
    <x v="91"/>
    <s v="Aryan"/>
    <x v="1"/>
    <x v="1"/>
    <s v="South"/>
    <x v="0"/>
    <s v="Table"/>
    <n v="18"/>
    <n v="4937.99"/>
    <n v="88883.82"/>
  </r>
  <r>
    <x v="96"/>
    <s v="Aryan"/>
    <x v="10"/>
    <x v="3"/>
    <s v="West"/>
    <x v="0"/>
    <s v="Sofa"/>
    <n v="17"/>
    <n v="3421.31"/>
    <n v="58162.27"/>
  </r>
  <r>
    <x v="115"/>
    <s v="Kabir"/>
    <x v="11"/>
    <x v="4"/>
    <s v="North"/>
    <x v="4"/>
    <s v="Headphones"/>
    <n v="4"/>
    <n v="1555.9"/>
    <n v="6223.6"/>
  </r>
  <r>
    <x v="127"/>
    <s v="Aarav"/>
    <x v="9"/>
    <x v="0"/>
    <s v="West"/>
    <x v="4"/>
    <s v="Headphones"/>
    <n v="12"/>
    <n v="932.42"/>
    <n v="11189.04"/>
  </r>
  <r>
    <x v="98"/>
    <s v="Ishita"/>
    <x v="6"/>
    <x v="2"/>
    <s v="South"/>
    <x v="0"/>
    <s v="Chair"/>
    <n v="20"/>
    <n v="459.48"/>
    <n v="9189.6"/>
  </r>
  <r>
    <x v="81"/>
    <s v="Vihaan"/>
    <x v="2"/>
    <x v="2"/>
    <s v="South"/>
    <x v="4"/>
    <s v="Smartphone"/>
    <n v="5"/>
    <n v="568.87"/>
    <n v="2844.35"/>
  </r>
  <r>
    <x v="74"/>
    <s v="Nishant"/>
    <x v="12"/>
    <x v="2"/>
    <s v="South"/>
    <x v="2"/>
    <s v="Jacket"/>
    <n v="10"/>
    <n v="1468.96"/>
    <n v="14689.6"/>
  </r>
  <r>
    <x v="114"/>
    <s v="Kabir"/>
    <x v="11"/>
    <x v="4"/>
    <s v="North"/>
    <x v="0"/>
    <s v="Chair"/>
    <n v="6"/>
    <n v="3080.25"/>
    <n v="18481.5"/>
  </r>
  <r>
    <x v="128"/>
    <s v="Kabir"/>
    <x v="2"/>
    <x v="2"/>
    <s v="South"/>
    <x v="2"/>
    <s v="Pants"/>
    <n v="11"/>
    <n v="1817.43"/>
    <n v="19991.73"/>
  </r>
  <r>
    <x v="129"/>
    <s v="Meera"/>
    <x v="13"/>
    <x v="4"/>
    <s v="North"/>
    <x v="1"/>
    <s v="Pen"/>
    <n v="19"/>
    <n v="3800.55"/>
    <n v="72210.45"/>
  </r>
  <r>
    <x v="130"/>
    <s v="Aarav"/>
    <x v="14"/>
    <x v="3"/>
    <s v="West"/>
    <x v="4"/>
    <s v="Headphones"/>
    <n v="17"/>
    <n v="2809.13"/>
    <n v="47755.21"/>
  </r>
  <r>
    <x v="131"/>
    <s v="Nishant"/>
    <x v="6"/>
    <x v="2"/>
    <s v="South"/>
    <x v="1"/>
    <s v="Ruler"/>
    <n v="9"/>
    <n v="4712.9799999999996"/>
    <n v="42416.82"/>
  </r>
  <r>
    <x v="132"/>
    <s v="Nishant"/>
    <x v="14"/>
    <x v="3"/>
    <s v="West"/>
    <x v="4"/>
    <s v="Tablet"/>
    <n v="1"/>
    <n v="4541.7700000000004"/>
    <n v="4541.7700000000004"/>
  </r>
  <r>
    <x v="133"/>
    <s v="Riya"/>
    <x v="8"/>
    <x v="4"/>
    <s v="North"/>
    <x v="4"/>
    <s v="Laptop"/>
    <n v="9"/>
    <n v="3122.72"/>
    <n v="28104.48"/>
  </r>
  <r>
    <x v="123"/>
    <s v="Aarav"/>
    <x v="4"/>
    <x v="0"/>
    <s v="West"/>
    <x v="1"/>
    <s v="Pen"/>
    <n v="9"/>
    <n v="4198.92"/>
    <n v="37790.28"/>
  </r>
  <r>
    <x v="41"/>
    <s v="Ishita"/>
    <x v="1"/>
    <x v="1"/>
    <s v="South"/>
    <x v="0"/>
    <s v="Sofa"/>
    <n v="17"/>
    <n v="4415.8500000000004"/>
    <n v="75069.45"/>
  </r>
  <r>
    <x v="134"/>
    <s v="Ananya"/>
    <x v="2"/>
    <x v="2"/>
    <s v="South"/>
    <x v="3"/>
    <s v="Sugar"/>
    <n v="16"/>
    <n v="4684.8599999999997"/>
    <n v="74957.759999999995"/>
  </r>
  <r>
    <x v="5"/>
    <s v="Nishant"/>
    <x v="2"/>
    <x v="2"/>
    <s v="South"/>
    <x v="0"/>
    <s v="Bed"/>
    <n v="17"/>
    <n v="4156.25"/>
    <n v="70656.25"/>
  </r>
  <r>
    <x v="135"/>
    <s v="Nishant"/>
    <x v="1"/>
    <x v="1"/>
    <s v="South"/>
    <x v="1"/>
    <s v="Pen"/>
    <n v="10"/>
    <n v="3776.8"/>
    <n v="37768"/>
  </r>
  <r>
    <x v="33"/>
    <s v="Aryan"/>
    <x v="10"/>
    <x v="3"/>
    <s v="West"/>
    <x v="4"/>
    <s v="Headphones"/>
    <n v="8"/>
    <n v="310.33"/>
    <n v="2482.64"/>
  </r>
  <r>
    <x v="135"/>
    <s v="Ishita"/>
    <x v="14"/>
    <x v="3"/>
    <s v="West"/>
    <x v="3"/>
    <s v="Rice"/>
    <n v="5"/>
    <n v="1313.4"/>
    <n v="6567"/>
  </r>
  <r>
    <x v="136"/>
    <s v="Kabir"/>
    <x v="0"/>
    <x v="0"/>
    <s v="West"/>
    <x v="3"/>
    <s v="Sugar"/>
    <n v="6"/>
    <n v="2332.11"/>
    <n v="13992.66"/>
  </r>
  <r>
    <x v="137"/>
    <s v="Vihaan"/>
    <x v="13"/>
    <x v="4"/>
    <s v="North"/>
    <x v="1"/>
    <s v="Notebook"/>
    <n v="3"/>
    <n v="4955.22"/>
    <n v="14865.66"/>
  </r>
  <r>
    <x v="138"/>
    <s v="Vihaan"/>
    <x v="0"/>
    <x v="0"/>
    <s v="West"/>
    <x v="0"/>
    <s v="Table"/>
    <n v="17"/>
    <n v="3827.64"/>
    <n v="65069.88"/>
  </r>
  <r>
    <x v="139"/>
    <s v="Meera"/>
    <x v="10"/>
    <x v="3"/>
    <s v="West"/>
    <x v="2"/>
    <s v="Dress"/>
    <n v="17"/>
    <n v="3857.33"/>
    <n v="65574.61"/>
  </r>
  <r>
    <x v="140"/>
    <s v="Nishant"/>
    <x v="3"/>
    <x v="1"/>
    <s v="South"/>
    <x v="2"/>
    <s v="Shirt"/>
    <n v="8"/>
    <n v="1421.21"/>
    <n v="11369.68"/>
  </r>
  <r>
    <x v="141"/>
    <s v="Vihaan"/>
    <x v="4"/>
    <x v="0"/>
    <s v="West"/>
    <x v="3"/>
    <s v="Oil"/>
    <n v="1"/>
    <n v="1544.87"/>
    <n v="1544.87"/>
  </r>
  <r>
    <x v="142"/>
    <s v="Nishant"/>
    <x v="10"/>
    <x v="3"/>
    <s v="West"/>
    <x v="3"/>
    <s v="Sugar"/>
    <n v="14"/>
    <n v="2764.71"/>
    <n v="38705.94"/>
  </r>
  <r>
    <x v="143"/>
    <s v="Aarav"/>
    <x v="6"/>
    <x v="2"/>
    <s v="South"/>
    <x v="2"/>
    <s v="Dress"/>
    <n v="9"/>
    <n v="2210.8000000000002"/>
    <n v="19897.2"/>
  </r>
  <r>
    <x v="144"/>
    <s v="Nishant"/>
    <x v="5"/>
    <x v="1"/>
    <s v="South"/>
    <x v="0"/>
    <s v="Chair"/>
    <n v="3"/>
    <n v="4359.8999999999996"/>
    <n v="13079.7"/>
  </r>
  <r>
    <x v="22"/>
    <s v="Aryan"/>
    <x v="2"/>
    <x v="2"/>
    <s v="South"/>
    <x v="0"/>
    <s v="Table"/>
    <n v="7"/>
    <n v="3836.77"/>
    <n v="26857.39"/>
  </r>
  <r>
    <x v="145"/>
    <s v="Riya"/>
    <x v="10"/>
    <x v="3"/>
    <s v="West"/>
    <x v="1"/>
    <s v="Pen"/>
    <n v="7"/>
    <n v="560.58000000000004"/>
    <n v="3924.06"/>
  </r>
  <r>
    <x v="146"/>
    <s v="Ishita"/>
    <x v="8"/>
    <x v="4"/>
    <s v="North"/>
    <x v="4"/>
    <s v="Headphones"/>
    <n v="17"/>
    <n v="1574.45"/>
    <n v="26765.65"/>
  </r>
  <r>
    <x v="66"/>
    <s v="Aditi"/>
    <x v="8"/>
    <x v="4"/>
    <s v="North"/>
    <x v="0"/>
    <s v="Table"/>
    <n v="17"/>
    <n v="578.66999999999996"/>
    <n v="9837.39"/>
  </r>
  <r>
    <x v="60"/>
    <s v="Riya"/>
    <x v="1"/>
    <x v="1"/>
    <s v="South"/>
    <x v="3"/>
    <s v="Lentils"/>
    <n v="19"/>
    <n v="1441.02"/>
    <n v="27379.38"/>
  </r>
  <r>
    <x v="147"/>
    <s v="Meera"/>
    <x v="5"/>
    <x v="1"/>
    <s v="South"/>
    <x v="0"/>
    <s v="Sofa"/>
    <n v="19"/>
    <n v="618.02"/>
    <n v="11742.38"/>
  </r>
  <r>
    <x v="125"/>
    <s v="Aryan"/>
    <x v="14"/>
    <x v="3"/>
    <s v="West"/>
    <x v="1"/>
    <s v="Eraser"/>
    <n v="15"/>
    <n v="4093.93"/>
    <n v="61408.95"/>
  </r>
  <r>
    <x v="101"/>
    <s v="Vihaan"/>
    <x v="7"/>
    <x v="3"/>
    <s v="West"/>
    <x v="0"/>
    <s v="Bed"/>
    <n v="16"/>
    <n v="2714.37"/>
    <n v="43429.919999999998"/>
  </r>
  <r>
    <x v="98"/>
    <s v="Aarav"/>
    <x v="14"/>
    <x v="3"/>
    <s v="West"/>
    <x v="2"/>
    <s v="Dress"/>
    <n v="8"/>
    <n v="4658.57"/>
    <n v="37268.559999999998"/>
  </r>
  <r>
    <x v="148"/>
    <s v="Riya"/>
    <x v="0"/>
    <x v="0"/>
    <s v="West"/>
    <x v="1"/>
    <s v="Notebook"/>
    <n v="20"/>
    <n v="3203.76"/>
    <n v="64075.199999999997"/>
  </r>
  <r>
    <x v="14"/>
    <s v="Riya"/>
    <x v="11"/>
    <x v="4"/>
    <s v="North"/>
    <x v="4"/>
    <s v="Smartphone"/>
    <n v="5"/>
    <n v="3572.02"/>
    <n v="17860.099999999999"/>
  </r>
  <r>
    <x v="149"/>
    <s v="Meera"/>
    <x v="10"/>
    <x v="3"/>
    <s v="West"/>
    <x v="3"/>
    <s v="Oil"/>
    <n v="4"/>
    <n v="328.82"/>
    <n v="1315.28"/>
  </r>
  <r>
    <x v="131"/>
    <s v="Meera"/>
    <x v="13"/>
    <x v="4"/>
    <s v="North"/>
    <x v="1"/>
    <s v="Eraser"/>
    <n v="10"/>
    <n v="4210.63"/>
    <n v="42106.3"/>
  </r>
  <r>
    <x v="150"/>
    <s v="Aditi"/>
    <x v="2"/>
    <x v="2"/>
    <s v="South"/>
    <x v="2"/>
    <s v="Dress"/>
    <n v="15"/>
    <n v="211.9"/>
    <n v="3178.5"/>
  </r>
  <r>
    <x v="151"/>
    <s v="Kabir"/>
    <x v="11"/>
    <x v="4"/>
    <s v="North"/>
    <x v="0"/>
    <s v="Table"/>
    <n v="6"/>
    <n v="1847.42"/>
    <n v="11084.52"/>
  </r>
  <r>
    <x v="152"/>
    <s v="Vihaan"/>
    <x v="11"/>
    <x v="4"/>
    <s v="North"/>
    <x v="3"/>
    <s v="Rice"/>
    <n v="15"/>
    <n v="3875.6"/>
    <n v="58134"/>
  </r>
  <r>
    <x v="153"/>
    <s v="Aarav"/>
    <x v="11"/>
    <x v="4"/>
    <s v="North"/>
    <x v="1"/>
    <s v="Eraser"/>
    <n v="1"/>
    <n v="1323.63"/>
    <n v="1323.63"/>
  </r>
  <r>
    <x v="133"/>
    <s v="Ananya"/>
    <x v="10"/>
    <x v="3"/>
    <s v="West"/>
    <x v="4"/>
    <s v="Smartphone"/>
    <n v="18"/>
    <n v="3916.11"/>
    <n v="70489.98"/>
  </r>
  <r>
    <x v="154"/>
    <s v="Nishant"/>
    <x v="7"/>
    <x v="3"/>
    <s v="West"/>
    <x v="0"/>
    <s v="Sofa"/>
    <n v="16"/>
    <n v="4624.91"/>
    <n v="73998.559999999998"/>
  </r>
  <r>
    <x v="10"/>
    <s v="Nishant"/>
    <x v="0"/>
    <x v="0"/>
    <s v="West"/>
    <x v="1"/>
    <s v="Notebook"/>
    <n v="8"/>
    <n v="4091.1"/>
    <n v="32728.799999999999"/>
  </r>
  <r>
    <x v="155"/>
    <s v="Meera"/>
    <x v="0"/>
    <x v="0"/>
    <s v="West"/>
    <x v="0"/>
    <s v="Sofa"/>
    <n v="16"/>
    <n v="3369.55"/>
    <n v="53912.800000000003"/>
  </r>
  <r>
    <x v="156"/>
    <s v="Ishita"/>
    <x v="12"/>
    <x v="2"/>
    <s v="South"/>
    <x v="0"/>
    <s v="Bed"/>
    <n v="3"/>
    <n v="3591.92"/>
    <n v="10775.76"/>
  </r>
  <r>
    <x v="157"/>
    <s v="Aryan"/>
    <x v="4"/>
    <x v="0"/>
    <s v="West"/>
    <x v="2"/>
    <s v="Dress"/>
    <n v="4"/>
    <n v="4298.3500000000004"/>
    <n v="17193.400000000001"/>
  </r>
  <r>
    <x v="4"/>
    <s v="Meera"/>
    <x v="10"/>
    <x v="3"/>
    <s v="West"/>
    <x v="1"/>
    <s v="Pen"/>
    <n v="11"/>
    <n v="3687.73"/>
    <n v="40565.03"/>
  </r>
  <r>
    <x v="136"/>
    <s v="Vihaan"/>
    <x v="7"/>
    <x v="3"/>
    <s v="West"/>
    <x v="3"/>
    <s v="Oil"/>
    <n v="12"/>
    <n v="548.36"/>
    <n v="6580.32"/>
  </r>
  <r>
    <x v="158"/>
    <s v="Riya"/>
    <x v="2"/>
    <x v="2"/>
    <s v="South"/>
    <x v="2"/>
    <s v="Dress"/>
    <n v="6"/>
    <n v="3931.61"/>
    <n v="23589.66"/>
  </r>
  <r>
    <x v="159"/>
    <s v="Meera"/>
    <x v="0"/>
    <x v="0"/>
    <s v="West"/>
    <x v="2"/>
    <s v="Pants"/>
    <n v="18"/>
    <n v="1120.0999999999999"/>
    <n v="20161.8"/>
  </r>
  <r>
    <x v="160"/>
    <s v="Ananya"/>
    <x v="6"/>
    <x v="2"/>
    <s v="South"/>
    <x v="1"/>
    <s v="Notebook"/>
    <n v="11"/>
    <n v="1473.35"/>
    <n v="16206.85"/>
  </r>
  <r>
    <x v="161"/>
    <s v="Aditi"/>
    <x v="10"/>
    <x v="3"/>
    <s v="West"/>
    <x v="4"/>
    <s v="Laptop"/>
    <n v="6"/>
    <n v="297.27"/>
    <n v="1783.62"/>
  </r>
  <r>
    <x v="162"/>
    <s v="Meera"/>
    <x v="4"/>
    <x v="0"/>
    <s v="West"/>
    <x v="3"/>
    <s v="Rice"/>
    <n v="5"/>
    <n v="4872.8900000000003"/>
    <n v="24364.45"/>
  </r>
  <r>
    <x v="86"/>
    <s v="Aarav"/>
    <x v="8"/>
    <x v="4"/>
    <s v="North"/>
    <x v="3"/>
    <s v="Sugar"/>
    <n v="20"/>
    <n v="4711.51"/>
    <n v="94230.2"/>
  </r>
  <r>
    <x v="96"/>
    <s v="Kabir"/>
    <x v="10"/>
    <x v="3"/>
    <s v="West"/>
    <x v="4"/>
    <s v="Laptop"/>
    <n v="5"/>
    <n v="4096.54"/>
    <n v="20482.7"/>
  </r>
  <r>
    <x v="3"/>
    <s v="Riya"/>
    <x v="8"/>
    <x v="4"/>
    <s v="North"/>
    <x v="3"/>
    <s v="Sugar"/>
    <n v="6"/>
    <n v="830.82"/>
    <n v="4984.92"/>
  </r>
  <r>
    <x v="84"/>
    <s v="Aryan"/>
    <x v="11"/>
    <x v="4"/>
    <s v="North"/>
    <x v="3"/>
    <s v="Lentils"/>
    <n v="3"/>
    <n v="4637.38"/>
    <n v="13912.14"/>
  </r>
  <r>
    <x v="163"/>
    <s v="Ananya"/>
    <x v="2"/>
    <x v="2"/>
    <s v="South"/>
    <x v="1"/>
    <s v="Ruler"/>
    <n v="5"/>
    <n v="3770.1"/>
    <n v="18850.5"/>
  </r>
  <r>
    <x v="31"/>
    <s v="Ishita"/>
    <x v="12"/>
    <x v="2"/>
    <s v="South"/>
    <x v="3"/>
    <s v="Rice"/>
    <n v="20"/>
    <n v="285.95999999999998"/>
    <n v="5719.2"/>
  </r>
  <r>
    <x v="164"/>
    <s v="Aarav"/>
    <x v="11"/>
    <x v="4"/>
    <s v="North"/>
    <x v="0"/>
    <s v="Chair"/>
    <n v="6"/>
    <n v="1912.36"/>
    <n v="11474.16"/>
  </r>
  <r>
    <x v="165"/>
    <s v="Vihaan"/>
    <x v="14"/>
    <x v="3"/>
    <s v="West"/>
    <x v="2"/>
    <s v="Dress"/>
    <n v="19"/>
    <n v="3648.27"/>
    <n v="69317.13"/>
  </r>
  <r>
    <x v="166"/>
    <s v="Nishant"/>
    <x v="2"/>
    <x v="2"/>
    <s v="South"/>
    <x v="0"/>
    <s v="Sofa"/>
    <n v="20"/>
    <n v="473.23"/>
    <n v="9464.6"/>
  </r>
  <r>
    <x v="52"/>
    <s v="Meera"/>
    <x v="3"/>
    <x v="1"/>
    <s v="South"/>
    <x v="4"/>
    <s v="Headphones"/>
    <n v="16"/>
    <n v="1870.47"/>
    <n v="29927.52"/>
  </r>
  <r>
    <x v="167"/>
    <s v="Riya"/>
    <x v="13"/>
    <x v="4"/>
    <s v="North"/>
    <x v="3"/>
    <s v="Sugar"/>
    <n v="18"/>
    <n v="835.8"/>
    <n v="15044.4"/>
  </r>
  <r>
    <x v="84"/>
    <s v="Kabir"/>
    <x v="0"/>
    <x v="0"/>
    <s v="West"/>
    <x v="1"/>
    <s v="Pen"/>
    <n v="18"/>
    <n v="4850.91"/>
    <n v="87316.38"/>
  </r>
  <r>
    <x v="10"/>
    <s v="Nishant"/>
    <x v="9"/>
    <x v="0"/>
    <s v="West"/>
    <x v="0"/>
    <s v="Table"/>
    <n v="10"/>
    <n v="2200.91"/>
    <n v="22009.1"/>
  </r>
  <r>
    <x v="68"/>
    <s v="Ananya"/>
    <x v="6"/>
    <x v="2"/>
    <s v="South"/>
    <x v="4"/>
    <s v="Headphones"/>
    <n v="9"/>
    <n v="1694.83"/>
    <n v="15253.47"/>
  </r>
  <r>
    <x v="46"/>
    <s v="Kabir"/>
    <x v="1"/>
    <x v="1"/>
    <s v="South"/>
    <x v="0"/>
    <s v="Sofa"/>
    <n v="10"/>
    <n v="1229.56"/>
    <n v="12295.6"/>
  </r>
  <r>
    <x v="12"/>
    <s v="Kabir"/>
    <x v="10"/>
    <x v="3"/>
    <s v="West"/>
    <x v="3"/>
    <s v="Lentils"/>
    <n v="14"/>
    <n v="705.15"/>
    <n v="9872.1"/>
  </r>
  <r>
    <x v="168"/>
    <s v="Aryan"/>
    <x v="11"/>
    <x v="4"/>
    <s v="North"/>
    <x v="2"/>
    <s v="Pants"/>
    <n v="19"/>
    <n v="3485.85"/>
    <n v="66231.149999999994"/>
  </r>
  <r>
    <x v="169"/>
    <s v="Vihaan"/>
    <x v="8"/>
    <x v="4"/>
    <s v="North"/>
    <x v="4"/>
    <s v="Headphones"/>
    <n v="10"/>
    <n v="3633.26"/>
    <n v="36332.6"/>
  </r>
  <r>
    <x v="170"/>
    <s v="Aryan"/>
    <x v="0"/>
    <x v="0"/>
    <s v="West"/>
    <x v="3"/>
    <s v="Oil"/>
    <n v="14"/>
    <n v="1245.9000000000001"/>
    <n v="17442.599999999999"/>
  </r>
  <r>
    <x v="171"/>
    <s v="Aditi"/>
    <x v="8"/>
    <x v="4"/>
    <s v="North"/>
    <x v="0"/>
    <s v="Table"/>
    <n v="4"/>
    <n v="4553.5200000000004"/>
    <n v="18214.080000000002"/>
  </r>
  <r>
    <x v="172"/>
    <s v="Vihaan"/>
    <x v="9"/>
    <x v="0"/>
    <s v="West"/>
    <x v="0"/>
    <s v="Bed"/>
    <n v="3"/>
    <n v="1417.18"/>
    <n v="4251.54"/>
  </r>
  <r>
    <x v="173"/>
    <s v="Aarav"/>
    <x v="0"/>
    <x v="0"/>
    <s v="West"/>
    <x v="4"/>
    <s v="Tablet"/>
    <n v="7"/>
    <n v="1249.3599999999999"/>
    <n v="8745.52"/>
  </r>
  <r>
    <x v="98"/>
    <s v="Ishita"/>
    <x v="1"/>
    <x v="1"/>
    <s v="South"/>
    <x v="2"/>
    <s v="Jacket"/>
    <n v="7"/>
    <n v="3911.96"/>
    <n v="27383.72"/>
  </r>
  <r>
    <x v="63"/>
    <s v="Aditi"/>
    <x v="6"/>
    <x v="2"/>
    <s v="South"/>
    <x v="2"/>
    <s v="Pants"/>
    <n v="4"/>
    <n v="3087.87"/>
    <n v="12351.48"/>
  </r>
  <r>
    <x v="174"/>
    <s v="Aditi"/>
    <x v="0"/>
    <x v="0"/>
    <s v="West"/>
    <x v="4"/>
    <s v="Tablet"/>
    <n v="16"/>
    <n v="628.15"/>
    <n v="10050.4"/>
  </r>
  <r>
    <x v="175"/>
    <s v="Aarav"/>
    <x v="2"/>
    <x v="2"/>
    <s v="South"/>
    <x v="3"/>
    <s v="Oil"/>
    <n v="15"/>
    <n v="3100.61"/>
    <n v="46509.15"/>
  </r>
  <r>
    <x v="176"/>
    <s v="Vihaan"/>
    <x v="6"/>
    <x v="2"/>
    <s v="South"/>
    <x v="2"/>
    <s v="Pants"/>
    <n v="10"/>
    <n v="4017.66"/>
    <n v="40176.6"/>
  </r>
  <r>
    <x v="177"/>
    <s v="Vihaan"/>
    <x v="12"/>
    <x v="2"/>
    <s v="South"/>
    <x v="0"/>
    <s v="Bed"/>
    <n v="3"/>
    <n v="3389.2"/>
    <n v="10167.6"/>
  </r>
  <r>
    <x v="59"/>
    <s v="Nishant"/>
    <x v="0"/>
    <x v="0"/>
    <s v="West"/>
    <x v="3"/>
    <s v="Lentils"/>
    <n v="20"/>
    <n v="2441.83"/>
    <n v="48836.6"/>
  </r>
  <r>
    <x v="178"/>
    <s v="Vihaan"/>
    <x v="13"/>
    <x v="4"/>
    <s v="North"/>
    <x v="0"/>
    <s v="Sofa"/>
    <n v="17"/>
    <n v="2655.98"/>
    <n v="45151.66"/>
  </r>
  <r>
    <x v="179"/>
    <s v="Vihaan"/>
    <x v="6"/>
    <x v="2"/>
    <s v="South"/>
    <x v="4"/>
    <s v="Tablet"/>
    <n v="3"/>
    <n v="4908.74"/>
    <n v="14726.22"/>
  </r>
  <r>
    <x v="105"/>
    <s v="Aryan"/>
    <x v="11"/>
    <x v="4"/>
    <s v="North"/>
    <x v="4"/>
    <s v="Tablet"/>
    <n v="13"/>
    <n v="4121.8"/>
    <n v="53583.4"/>
  </r>
  <r>
    <x v="180"/>
    <s v="Kabir"/>
    <x v="0"/>
    <x v="0"/>
    <s v="West"/>
    <x v="4"/>
    <s v="Tablet"/>
    <n v="7"/>
    <n v="2083.7800000000002"/>
    <n v="14586.46"/>
  </r>
  <r>
    <x v="181"/>
    <s v="Aarav"/>
    <x v="9"/>
    <x v="0"/>
    <s v="West"/>
    <x v="2"/>
    <s v="Jacket"/>
    <n v="4"/>
    <n v="697.88"/>
    <n v="2791.52"/>
  </r>
  <r>
    <x v="23"/>
    <s v="Kabir"/>
    <x v="8"/>
    <x v="4"/>
    <s v="North"/>
    <x v="4"/>
    <s v="Smartphone"/>
    <n v="3"/>
    <n v="3754.7"/>
    <n v="11264.1"/>
  </r>
  <r>
    <x v="182"/>
    <s v="Nishant"/>
    <x v="1"/>
    <x v="1"/>
    <s v="South"/>
    <x v="0"/>
    <s v="Chair"/>
    <n v="20"/>
    <n v="2449.44"/>
    <n v="48988.800000000003"/>
  </r>
  <r>
    <x v="183"/>
    <s v="Aditi"/>
    <x v="5"/>
    <x v="1"/>
    <s v="South"/>
    <x v="4"/>
    <s v="Laptop"/>
    <n v="6"/>
    <n v="2862.86"/>
    <n v="17177.16"/>
  </r>
  <r>
    <x v="184"/>
    <s v="Riya"/>
    <x v="5"/>
    <x v="1"/>
    <s v="South"/>
    <x v="1"/>
    <s v="Ruler"/>
    <n v="4"/>
    <n v="4795.3999999999996"/>
    <n v="19181.599999999999"/>
  </r>
  <r>
    <x v="185"/>
    <s v="Riya"/>
    <x v="8"/>
    <x v="4"/>
    <s v="North"/>
    <x v="0"/>
    <s v="Sofa"/>
    <n v="3"/>
    <n v="672.84"/>
    <n v="2018.52"/>
  </r>
  <r>
    <x v="110"/>
    <s v="Kabir"/>
    <x v="12"/>
    <x v="2"/>
    <s v="South"/>
    <x v="0"/>
    <s v="Chair"/>
    <n v="5"/>
    <n v="4423.53"/>
    <n v="22117.65"/>
  </r>
  <r>
    <x v="56"/>
    <s v="Riya"/>
    <x v="5"/>
    <x v="1"/>
    <s v="South"/>
    <x v="0"/>
    <s v="Chair"/>
    <n v="13"/>
    <n v="1330.85"/>
    <n v="17301.05"/>
  </r>
  <r>
    <x v="186"/>
    <s v="Kabir"/>
    <x v="0"/>
    <x v="0"/>
    <s v="West"/>
    <x v="1"/>
    <s v="Pen"/>
    <n v="2"/>
    <n v="1785.76"/>
    <n v="3571.52"/>
  </r>
  <r>
    <x v="187"/>
    <s v="Nishant"/>
    <x v="8"/>
    <x v="4"/>
    <s v="North"/>
    <x v="0"/>
    <s v="Sofa"/>
    <n v="10"/>
    <n v="505.39"/>
    <n v="5053.8999999999996"/>
  </r>
  <r>
    <x v="126"/>
    <s v="Ishita"/>
    <x v="2"/>
    <x v="2"/>
    <s v="South"/>
    <x v="4"/>
    <s v="Smartphone"/>
    <n v="1"/>
    <n v="4966.8599999999997"/>
    <n v="4966.8599999999997"/>
  </r>
  <r>
    <x v="188"/>
    <s v="Nishant"/>
    <x v="14"/>
    <x v="3"/>
    <s v="West"/>
    <x v="0"/>
    <s v="Bed"/>
    <n v="5"/>
    <n v="4988.76"/>
    <n v="24943.8"/>
  </r>
  <r>
    <x v="189"/>
    <s v="Aarav"/>
    <x v="6"/>
    <x v="2"/>
    <s v="South"/>
    <x v="4"/>
    <s v="Smartphone"/>
    <n v="18"/>
    <n v="1745.63"/>
    <n v="31421.34"/>
  </r>
  <r>
    <x v="190"/>
    <s v="Nishant"/>
    <x v="4"/>
    <x v="0"/>
    <s v="West"/>
    <x v="2"/>
    <s v="Jacket"/>
    <n v="2"/>
    <n v="3024.56"/>
    <n v="6049.12"/>
  </r>
  <r>
    <x v="131"/>
    <s v="Aryan"/>
    <x v="1"/>
    <x v="1"/>
    <s v="South"/>
    <x v="1"/>
    <s v="Eraser"/>
    <n v="15"/>
    <n v="4599.74"/>
    <n v="68996.100000000006"/>
  </r>
  <r>
    <x v="60"/>
    <s v="Nishant"/>
    <x v="8"/>
    <x v="4"/>
    <s v="North"/>
    <x v="3"/>
    <s v="Oil"/>
    <n v="18"/>
    <n v="330.49"/>
    <n v="5948.82"/>
  </r>
  <r>
    <x v="191"/>
    <s v="Aditi"/>
    <x v="12"/>
    <x v="2"/>
    <s v="South"/>
    <x v="2"/>
    <s v="Dress"/>
    <n v="8"/>
    <n v="4775.74"/>
    <n v="38205.919999999998"/>
  </r>
  <r>
    <x v="192"/>
    <s v="Kabir"/>
    <x v="14"/>
    <x v="3"/>
    <s v="West"/>
    <x v="1"/>
    <s v="Eraser"/>
    <n v="16"/>
    <n v="2329.86"/>
    <n v="37277.760000000002"/>
  </r>
  <r>
    <x v="98"/>
    <s v="Vihaan"/>
    <x v="7"/>
    <x v="3"/>
    <s v="West"/>
    <x v="4"/>
    <s v="Headphones"/>
    <n v="16"/>
    <n v="1426.64"/>
    <n v="22826.240000000002"/>
  </r>
  <r>
    <x v="193"/>
    <s v="Ishita"/>
    <x v="14"/>
    <x v="3"/>
    <s v="West"/>
    <x v="2"/>
    <s v="Shirt"/>
    <n v="8"/>
    <n v="2663.16"/>
    <n v="21305.279999999999"/>
  </r>
  <r>
    <x v="194"/>
    <s v="Ananya"/>
    <x v="7"/>
    <x v="3"/>
    <s v="West"/>
    <x v="2"/>
    <s v="Dress"/>
    <n v="20"/>
    <n v="1690.56"/>
    <n v="33811.199999999997"/>
  </r>
  <r>
    <x v="195"/>
    <s v="Ananya"/>
    <x v="9"/>
    <x v="0"/>
    <s v="West"/>
    <x v="2"/>
    <s v="Dress"/>
    <n v="1"/>
    <n v="776.08"/>
    <n v="776.08"/>
  </r>
  <r>
    <x v="196"/>
    <s v="Vihaan"/>
    <x v="2"/>
    <x v="2"/>
    <s v="South"/>
    <x v="3"/>
    <s v="Sugar"/>
    <n v="3"/>
    <n v="1435.01"/>
    <n v="4305.03"/>
  </r>
  <r>
    <x v="197"/>
    <s v="Aditi"/>
    <x v="10"/>
    <x v="3"/>
    <s v="West"/>
    <x v="1"/>
    <s v="Pen"/>
    <n v="16"/>
    <n v="1473.98"/>
    <n v="23583.68"/>
  </r>
  <r>
    <x v="198"/>
    <s v="Ananya"/>
    <x v="13"/>
    <x v="4"/>
    <s v="North"/>
    <x v="0"/>
    <s v="Bed"/>
    <n v="6"/>
    <n v="1822.86"/>
    <n v="10937.16"/>
  </r>
  <r>
    <x v="46"/>
    <s v="Ananya"/>
    <x v="3"/>
    <x v="1"/>
    <s v="South"/>
    <x v="2"/>
    <s v="Pants"/>
    <n v="13"/>
    <n v="739.6"/>
    <n v="9614.7999999999993"/>
  </r>
  <r>
    <x v="199"/>
    <s v="Aarav"/>
    <x v="7"/>
    <x v="3"/>
    <s v="West"/>
    <x v="3"/>
    <s v="Oil"/>
    <n v="11"/>
    <n v="4209.66"/>
    <n v="46306.26"/>
  </r>
  <r>
    <x v="37"/>
    <s v="Vihaan"/>
    <x v="12"/>
    <x v="2"/>
    <s v="South"/>
    <x v="4"/>
    <s v="Laptop"/>
    <n v="8"/>
    <n v="4105.17"/>
    <n v="32841.360000000001"/>
  </r>
  <r>
    <x v="59"/>
    <s v="Aarav"/>
    <x v="8"/>
    <x v="4"/>
    <s v="North"/>
    <x v="0"/>
    <s v="Table"/>
    <n v="2"/>
    <n v="4100.3999999999996"/>
    <n v="8200.7999999999993"/>
  </r>
  <r>
    <x v="79"/>
    <s v="Vihaan"/>
    <x v="1"/>
    <x v="1"/>
    <s v="South"/>
    <x v="3"/>
    <s v="Lentils"/>
    <n v="20"/>
    <n v="2295.08"/>
    <n v="45901.599999999999"/>
  </r>
  <r>
    <x v="174"/>
    <s v="Ananya"/>
    <x v="4"/>
    <x v="0"/>
    <s v="West"/>
    <x v="3"/>
    <s v="Rice"/>
    <n v="20"/>
    <n v="4970.33"/>
    <n v="99406.6"/>
  </r>
  <r>
    <x v="200"/>
    <s v="Aarav"/>
    <x v="14"/>
    <x v="3"/>
    <s v="West"/>
    <x v="0"/>
    <s v="Bed"/>
    <n v="12"/>
    <n v="3939.5"/>
    <n v="47274"/>
  </r>
  <r>
    <x v="134"/>
    <s v="Riya"/>
    <x v="6"/>
    <x v="2"/>
    <s v="South"/>
    <x v="4"/>
    <s v="Smartphone"/>
    <n v="15"/>
    <n v="1450.75"/>
    <n v="21761.25"/>
  </r>
  <r>
    <x v="198"/>
    <s v="Riya"/>
    <x v="3"/>
    <x v="1"/>
    <s v="South"/>
    <x v="0"/>
    <s v="Table"/>
    <n v="8"/>
    <n v="3279.33"/>
    <n v="26234.639999999999"/>
  </r>
  <r>
    <x v="201"/>
    <s v="Ananya"/>
    <x v="9"/>
    <x v="0"/>
    <s v="West"/>
    <x v="2"/>
    <s v="Shirt"/>
    <n v="7"/>
    <n v="579.91999999999996"/>
    <n v="4059.44"/>
  </r>
  <r>
    <x v="202"/>
    <s v="Riya"/>
    <x v="3"/>
    <x v="1"/>
    <s v="South"/>
    <x v="4"/>
    <s v="Headphones"/>
    <n v="10"/>
    <n v="2515.54"/>
    <n v="25155.4"/>
  </r>
  <r>
    <x v="123"/>
    <s v="Aditi"/>
    <x v="9"/>
    <x v="0"/>
    <s v="West"/>
    <x v="3"/>
    <s v="Rice"/>
    <n v="10"/>
    <n v="2976.69"/>
    <n v="29766.9"/>
  </r>
  <r>
    <x v="19"/>
    <s v="Aditi"/>
    <x v="1"/>
    <x v="1"/>
    <s v="South"/>
    <x v="3"/>
    <s v="Oil"/>
    <n v="16"/>
    <n v="4047.21"/>
    <n v="64755.360000000001"/>
  </r>
  <r>
    <x v="203"/>
    <s v="Ishita"/>
    <x v="10"/>
    <x v="3"/>
    <s v="West"/>
    <x v="3"/>
    <s v="Sugar"/>
    <n v="18"/>
    <n v="2825.07"/>
    <n v="50851.26"/>
  </r>
  <r>
    <x v="189"/>
    <s v="Aarav"/>
    <x v="5"/>
    <x v="1"/>
    <s v="South"/>
    <x v="2"/>
    <s v="Jacket"/>
    <n v="13"/>
    <n v="1406.82"/>
    <n v="18288.66"/>
  </r>
  <r>
    <x v="204"/>
    <s v="Kabir"/>
    <x v="0"/>
    <x v="0"/>
    <s v="West"/>
    <x v="1"/>
    <s v="Notebook"/>
    <n v="16"/>
    <n v="1090.18"/>
    <n v="17442.88"/>
  </r>
  <r>
    <x v="82"/>
    <s v="Aryan"/>
    <x v="13"/>
    <x v="4"/>
    <s v="North"/>
    <x v="4"/>
    <s v="Smartphone"/>
    <n v="12"/>
    <n v="3696.43"/>
    <n v="44357.16"/>
  </r>
  <r>
    <x v="205"/>
    <s v="Aditi"/>
    <x v="12"/>
    <x v="2"/>
    <s v="South"/>
    <x v="4"/>
    <s v="Smartphone"/>
    <n v="7"/>
    <n v="4535.1400000000003"/>
    <n v="31745.98"/>
  </r>
  <r>
    <x v="206"/>
    <s v="Ishita"/>
    <x v="1"/>
    <x v="1"/>
    <s v="South"/>
    <x v="3"/>
    <s v="Oil"/>
    <n v="3"/>
    <n v="4931.6899999999996"/>
    <n v="14795.07"/>
  </r>
  <r>
    <x v="10"/>
    <s v="Kabir"/>
    <x v="11"/>
    <x v="4"/>
    <s v="North"/>
    <x v="3"/>
    <s v="Lentils"/>
    <n v="16"/>
    <n v="3263.65"/>
    <n v="52218.400000000001"/>
  </r>
  <r>
    <x v="207"/>
    <s v="Nishant"/>
    <x v="4"/>
    <x v="0"/>
    <s v="West"/>
    <x v="1"/>
    <s v="Pen"/>
    <n v="17"/>
    <n v="4083.07"/>
    <n v="69412.19"/>
  </r>
  <r>
    <x v="35"/>
    <s v="Riya"/>
    <x v="9"/>
    <x v="0"/>
    <s v="West"/>
    <x v="1"/>
    <s v="Ruler"/>
    <n v="12"/>
    <n v="528.69000000000005"/>
    <n v="6344.28"/>
  </r>
  <r>
    <x v="36"/>
    <s v="Ananya"/>
    <x v="3"/>
    <x v="1"/>
    <s v="South"/>
    <x v="4"/>
    <s v="Tablet"/>
    <n v="8"/>
    <n v="528.92999999999995"/>
    <n v="4231.4399999999996"/>
  </r>
  <r>
    <x v="148"/>
    <s v="Meera"/>
    <x v="4"/>
    <x v="0"/>
    <s v="West"/>
    <x v="3"/>
    <s v="Lentils"/>
    <n v="11"/>
    <n v="1749.31"/>
    <n v="19242.41"/>
  </r>
  <r>
    <x v="132"/>
    <s v="Meera"/>
    <x v="0"/>
    <x v="0"/>
    <s v="West"/>
    <x v="1"/>
    <s v="Ruler"/>
    <n v="11"/>
    <n v="2635.95"/>
    <n v="28995.45"/>
  </r>
  <r>
    <x v="103"/>
    <s v="Aarav"/>
    <x v="0"/>
    <x v="0"/>
    <s v="West"/>
    <x v="3"/>
    <s v="Lentils"/>
    <n v="6"/>
    <n v="2850.31"/>
    <n v="17101.86"/>
  </r>
  <r>
    <x v="117"/>
    <s v="Kabir"/>
    <x v="2"/>
    <x v="2"/>
    <s v="South"/>
    <x v="4"/>
    <s v="Laptop"/>
    <n v="5"/>
    <n v="1413.03"/>
    <n v="7065.15"/>
  </r>
  <r>
    <x v="208"/>
    <s v="Ishita"/>
    <x v="9"/>
    <x v="0"/>
    <s v="West"/>
    <x v="4"/>
    <s v="Smartphone"/>
    <n v="14"/>
    <n v="4541.87"/>
    <n v="63586.18"/>
  </r>
  <r>
    <x v="127"/>
    <s v="Ishita"/>
    <x v="8"/>
    <x v="4"/>
    <s v="North"/>
    <x v="2"/>
    <s v="Shirt"/>
    <n v="5"/>
    <n v="3395.71"/>
    <n v="16978.55"/>
  </r>
  <r>
    <x v="209"/>
    <s v="Aditi"/>
    <x v="7"/>
    <x v="3"/>
    <s v="West"/>
    <x v="1"/>
    <s v="Pen"/>
    <n v="2"/>
    <n v="4050.46"/>
    <n v="8100.92"/>
  </r>
  <r>
    <x v="210"/>
    <s v="Aryan"/>
    <x v="14"/>
    <x v="3"/>
    <s v="West"/>
    <x v="2"/>
    <s v="Dress"/>
    <n v="6"/>
    <n v="3617.81"/>
    <n v="21706.86"/>
  </r>
  <r>
    <x v="211"/>
    <s v="Aditi"/>
    <x v="1"/>
    <x v="1"/>
    <s v="South"/>
    <x v="3"/>
    <s v="Rice"/>
    <n v="11"/>
    <n v="1527.71"/>
    <n v="16804.810000000001"/>
  </r>
  <r>
    <x v="46"/>
    <s v="Aryan"/>
    <x v="13"/>
    <x v="4"/>
    <s v="North"/>
    <x v="4"/>
    <s v="Tablet"/>
    <n v="7"/>
    <n v="1420.32"/>
    <n v="9942.24"/>
  </r>
  <r>
    <x v="12"/>
    <s v="Ishita"/>
    <x v="3"/>
    <x v="1"/>
    <s v="South"/>
    <x v="4"/>
    <s v="Headphones"/>
    <n v="17"/>
    <n v="1336.86"/>
    <n v="22726.62"/>
  </r>
  <r>
    <x v="212"/>
    <s v="Meera"/>
    <x v="14"/>
    <x v="3"/>
    <s v="West"/>
    <x v="2"/>
    <s v="Dress"/>
    <n v="15"/>
    <n v="359.4"/>
    <n v="5391"/>
  </r>
  <r>
    <x v="105"/>
    <s v="Ananya"/>
    <x v="13"/>
    <x v="4"/>
    <s v="North"/>
    <x v="0"/>
    <s v="Chair"/>
    <n v="6"/>
    <n v="4109.0200000000004"/>
    <n v="24654.12"/>
  </r>
  <r>
    <x v="213"/>
    <s v="Nishant"/>
    <x v="2"/>
    <x v="2"/>
    <s v="South"/>
    <x v="0"/>
    <s v="Table"/>
    <n v="12"/>
    <n v="3700.23"/>
    <n v="44402.76"/>
  </r>
  <r>
    <x v="167"/>
    <s v="Aditi"/>
    <x v="3"/>
    <x v="1"/>
    <s v="South"/>
    <x v="0"/>
    <s v="Chair"/>
    <n v="5"/>
    <n v="221.41"/>
    <n v="1107.05"/>
  </r>
  <r>
    <x v="93"/>
    <s v="Ananya"/>
    <x v="12"/>
    <x v="2"/>
    <s v="South"/>
    <x v="2"/>
    <s v="Dress"/>
    <n v="12"/>
    <n v="4446.1499999999996"/>
    <n v="53353.8"/>
  </r>
  <r>
    <x v="104"/>
    <s v="Ishita"/>
    <x v="12"/>
    <x v="2"/>
    <s v="South"/>
    <x v="3"/>
    <s v="Lentils"/>
    <n v="12"/>
    <n v="2393.9699999999998"/>
    <n v="28727.64"/>
  </r>
  <r>
    <x v="146"/>
    <s v="Aarav"/>
    <x v="8"/>
    <x v="4"/>
    <s v="North"/>
    <x v="3"/>
    <s v="Sugar"/>
    <n v="7"/>
    <n v="256.57"/>
    <n v="1795.99"/>
  </r>
  <r>
    <x v="214"/>
    <s v="Ananya"/>
    <x v="5"/>
    <x v="1"/>
    <s v="South"/>
    <x v="2"/>
    <s v="Jacket"/>
    <n v="9"/>
    <n v="4218.3599999999997"/>
    <n v="37965.24"/>
  </r>
  <r>
    <x v="130"/>
    <s v="Ishita"/>
    <x v="8"/>
    <x v="4"/>
    <s v="North"/>
    <x v="2"/>
    <s v="Pants"/>
    <n v="8"/>
    <n v="4930.67"/>
    <n v="39445.360000000001"/>
  </r>
  <r>
    <x v="215"/>
    <s v="Vihaan"/>
    <x v="3"/>
    <x v="1"/>
    <s v="South"/>
    <x v="2"/>
    <s v="Pants"/>
    <n v="2"/>
    <n v="1264.68"/>
    <n v="2529.36"/>
  </r>
  <r>
    <x v="216"/>
    <s v="Meera"/>
    <x v="9"/>
    <x v="0"/>
    <s v="West"/>
    <x v="1"/>
    <s v="Eraser"/>
    <n v="16"/>
    <n v="2192.7399999999998"/>
    <n v="35083.839999999997"/>
  </r>
  <r>
    <x v="14"/>
    <s v="Vihaan"/>
    <x v="9"/>
    <x v="0"/>
    <s v="West"/>
    <x v="3"/>
    <s v="Rice"/>
    <n v="14"/>
    <n v="3943.42"/>
    <n v="55207.88"/>
  </r>
  <r>
    <x v="94"/>
    <s v="Aryan"/>
    <x v="10"/>
    <x v="3"/>
    <s v="West"/>
    <x v="3"/>
    <s v="Oil"/>
    <n v="11"/>
    <n v="2951.18"/>
    <n v="32462.98"/>
  </r>
  <r>
    <x v="217"/>
    <s v="Riya"/>
    <x v="3"/>
    <x v="1"/>
    <s v="South"/>
    <x v="3"/>
    <s v="Sugar"/>
    <n v="11"/>
    <n v="4325.83"/>
    <n v="47584.13"/>
  </r>
  <r>
    <x v="218"/>
    <s v="Riya"/>
    <x v="10"/>
    <x v="3"/>
    <s v="West"/>
    <x v="4"/>
    <s v="Tablet"/>
    <n v="2"/>
    <n v="1417.87"/>
    <n v="2835.74"/>
  </r>
  <r>
    <x v="219"/>
    <s v="Riya"/>
    <x v="4"/>
    <x v="0"/>
    <s v="West"/>
    <x v="1"/>
    <s v="Ruler"/>
    <n v="13"/>
    <n v="2511.64"/>
    <n v="32651.32"/>
  </r>
  <r>
    <x v="6"/>
    <s v="Aryan"/>
    <x v="4"/>
    <x v="0"/>
    <s v="West"/>
    <x v="0"/>
    <s v="Table"/>
    <n v="7"/>
    <n v="862.76"/>
    <n v="6039.32"/>
  </r>
  <r>
    <x v="220"/>
    <s v="Vihaan"/>
    <x v="6"/>
    <x v="2"/>
    <s v="South"/>
    <x v="2"/>
    <s v="Jacket"/>
    <n v="18"/>
    <n v="1412.15"/>
    <n v="25418.7"/>
  </r>
  <r>
    <x v="11"/>
    <s v="Aryan"/>
    <x v="14"/>
    <x v="3"/>
    <s v="West"/>
    <x v="1"/>
    <s v="Ruler"/>
    <n v="6"/>
    <n v="3295.29"/>
    <n v="19771.740000000002"/>
  </r>
  <r>
    <x v="221"/>
    <s v="Kabir"/>
    <x v="1"/>
    <x v="1"/>
    <s v="South"/>
    <x v="1"/>
    <s v="Pen"/>
    <n v="18"/>
    <n v="4132.6899999999996"/>
    <n v="74388.42"/>
  </r>
  <r>
    <x v="222"/>
    <s v="Nishant"/>
    <x v="3"/>
    <x v="1"/>
    <s v="South"/>
    <x v="4"/>
    <s v="Smartphone"/>
    <n v="7"/>
    <n v="1557.83"/>
    <n v="10904.81"/>
  </r>
  <r>
    <x v="223"/>
    <s v="Ananya"/>
    <x v="8"/>
    <x v="4"/>
    <s v="North"/>
    <x v="1"/>
    <s v="Eraser"/>
    <n v="7"/>
    <n v="4673.3100000000004"/>
    <n v="32713.17"/>
  </r>
  <r>
    <x v="154"/>
    <s v="Nishant"/>
    <x v="4"/>
    <x v="0"/>
    <s v="West"/>
    <x v="3"/>
    <s v="Oil"/>
    <n v="5"/>
    <n v="3775.72"/>
    <n v="18878.599999999999"/>
  </r>
  <r>
    <x v="57"/>
    <s v="Aryan"/>
    <x v="4"/>
    <x v="0"/>
    <s v="West"/>
    <x v="0"/>
    <s v="Bed"/>
    <n v="6"/>
    <n v="3524.48"/>
    <n v="21146.880000000001"/>
  </r>
  <r>
    <x v="138"/>
    <s v="Aditi"/>
    <x v="10"/>
    <x v="3"/>
    <s v="West"/>
    <x v="4"/>
    <s v="Laptop"/>
    <n v="1"/>
    <n v="2961.1"/>
    <n v="2961.1"/>
  </r>
  <r>
    <x v="23"/>
    <s v="Nishant"/>
    <x v="2"/>
    <x v="2"/>
    <s v="South"/>
    <x v="1"/>
    <s v="Notebook"/>
    <n v="13"/>
    <n v="513.05999999999995"/>
    <n v="6669.78"/>
  </r>
  <r>
    <x v="176"/>
    <s v="Nishant"/>
    <x v="2"/>
    <x v="2"/>
    <s v="South"/>
    <x v="0"/>
    <s v="Sofa"/>
    <n v="3"/>
    <n v="953.26"/>
    <n v="2859.78"/>
  </r>
  <r>
    <x v="125"/>
    <s v="Meera"/>
    <x v="11"/>
    <x v="4"/>
    <s v="North"/>
    <x v="1"/>
    <s v="Eraser"/>
    <n v="2"/>
    <n v="1189.6500000000001"/>
    <n v="2379.3000000000002"/>
  </r>
  <r>
    <x v="224"/>
    <s v="Ananya"/>
    <x v="2"/>
    <x v="2"/>
    <s v="South"/>
    <x v="1"/>
    <s v="Eraser"/>
    <n v="1"/>
    <n v="1915.3"/>
    <n v="1915.3"/>
  </r>
  <r>
    <x v="225"/>
    <s v="Aryan"/>
    <x v="5"/>
    <x v="1"/>
    <s v="South"/>
    <x v="1"/>
    <s v="Pen"/>
    <n v="8"/>
    <n v="3927.74"/>
    <n v="31421.919999999998"/>
  </r>
  <r>
    <x v="207"/>
    <s v="Kabir"/>
    <x v="13"/>
    <x v="4"/>
    <s v="North"/>
    <x v="2"/>
    <s v="Jacket"/>
    <n v="10"/>
    <n v="2682.33"/>
    <n v="26823.3"/>
  </r>
  <r>
    <x v="49"/>
    <s v="Ananya"/>
    <x v="3"/>
    <x v="1"/>
    <s v="South"/>
    <x v="4"/>
    <s v="Smartphone"/>
    <n v="6"/>
    <n v="4086.27"/>
    <n v="24517.62"/>
  </r>
  <r>
    <x v="67"/>
    <s v="Ananya"/>
    <x v="3"/>
    <x v="1"/>
    <s v="South"/>
    <x v="4"/>
    <s v="Headphones"/>
    <n v="8"/>
    <n v="827.02"/>
    <n v="6616.16"/>
  </r>
  <r>
    <x v="135"/>
    <s v="Kabir"/>
    <x v="11"/>
    <x v="4"/>
    <s v="North"/>
    <x v="3"/>
    <s v="Rice"/>
    <n v="14"/>
    <n v="4728.4399999999996"/>
    <n v="66198.16"/>
  </r>
  <r>
    <x v="226"/>
    <s v="Aditi"/>
    <x v="7"/>
    <x v="3"/>
    <s v="West"/>
    <x v="0"/>
    <s v="Bed"/>
    <n v="11"/>
    <n v="575.73"/>
    <n v="6333.03"/>
  </r>
  <r>
    <x v="227"/>
    <s v="Nishant"/>
    <x v="9"/>
    <x v="0"/>
    <s v="West"/>
    <x v="0"/>
    <s v="Bed"/>
    <n v="4"/>
    <n v="578.35"/>
    <n v="2313.4"/>
  </r>
  <r>
    <x v="228"/>
    <s v="Aryan"/>
    <x v="3"/>
    <x v="1"/>
    <s v="South"/>
    <x v="1"/>
    <s v="Ruler"/>
    <n v="8"/>
    <n v="3043.72"/>
    <n v="24349.759999999998"/>
  </r>
  <r>
    <x v="214"/>
    <s v="Ishita"/>
    <x v="6"/>
    <x v="2"/>
    <s v="South"/>
    <x v="0"/>
    <s v="Table"/>
    <n v="10"/>
    <n v="3339.72"/>
    <n v="33397.199999999997"/>
  </r>
  <r>
    <x v="229"/>
    <s v="Meera"/>
    <x v="11"/>
    <x v="4"/>
    <s v="North"/>
    <x v="0"/>
    <s v="Table"/>
    <n v="7"/>
    <n v="2286.4"/>
    <n v="16004.8"/>
  </r>
  <r>
    <x v="48"/>
    <s v="Ananya"/>
    <x v="5"/>
    <x v="1"/>
    <s v="South"/>
    <x v="1"/>
    <s v="Pen"/>
    <n v="6"/>
    <n v="4862.26"/>
    <n v="29173.56"/>
  </r>
  <r>
    <x v="171"/>
    <s v="Riya"/>
    <x v="12"/>
    <x v="2"/>
    <s v="South"/>
    <x v="4"/>
    <s v="Laptop"/>
    <n v="6"/>
    <n v="3470.44"/>
    <n v="20822.64"/>
  </r>
  <r>
    <x v="230"/>
    <s v="Aarav"/>
    <x v="0"/>
    <x v="0"/>
    <s v="West"/>
    <x v="2"/>
    <s v="Pants"/>
    <n v="5"/>
    <n v="4175.13"/>
    <n v="20875.650000000001"/>
  </r>
  <r>
    <x v="231"/>
    <s v="Aryan"/>
    <x v="2"/>
    <x v="2"/>
    <s v="South"/>
    <x v="3"/>
    <s v="Rice"/>
    <n v="16"/>
    <n v="1880.67"/>
    <n v="30090.720000000001"/>
  </r>
  <r>
    <x v="232"/>
    <s v="Riya"/>
    <x v="13"/>
    <x v="4"/>
    <s v="North"/>
    <x v="4"/>
    <s v="Smartphone"/>
    <n v="7"/>
    <n v="2187.71"/>
    <n v="15313.97"/>
  </r>
  <r>
    <x v="44"/>
    <s v="Nishant"/>
    <x v="12"/>
    <x v="2"/>
    <s v="South"/>
    <x v="2"/>
    <s v="Shirt"/>
    <n v="14"/>
    <n v="1024.22"/>
    <n v="14339.08"/>
  </r>
  <r>
    <x v="31"/>
    <s v="Ananya"/>
    <x v="3"/>
    <x v="1"/>
    <s v="South"/>
    <x v="2"/>
    <s v="Pants"/>
    <n v="17"/>
    <n v="544.41999999999996"/>
    <n v="9255.14"/>
  </r>
  <r>
    <x v="81"/>
    <s v="Ishita"/>
    <x v="4"/>
    <x v="0"/>
    <s v="West"/>
    <x v="1"/>
    <s v="Pen"/>
    <n v="4"/>
    <n v="942.96"/>
    <n v="3771.84"/>
  </r>
  <r>
    <x v="68"/>
    <s v="Ananya"/>
    <x v="5"/>
    <x v="1"/>
    <s v="South"/>
    <x v="0"/>
    <s v="Chair"/>
    <n v="12"/>
    <n v="1799.38"/>
    <n v="21592.560000000001"/>
  </r>
  <r>
    <x v="9"/>
    <s v="Aditi"/>
    <x v="5"/>
    <x v="1"/>
    <s v="South"/>
    <x v="2"/>
    <s v="Shirt"/>
    <n v="11"/>
    <n v="1634.39"/>
    <n v="17978.29"/>
  </r>
  <r>
    <x v="233"/>
    <s v="Kabir"/>
    <x v="4"/>
    <x v="0"/>
    <s v="West"/>
    <x v="0"/>
    <s v="Sofa"/>
    <n v="3"/>
    <n v="2950.28"/>
    <n v="8850.84"/>
  </r>
  <r>
    <x v="234"/>
    <s v="Aditi"/>
    <x v="9"/>
    <x v="0"/>
    <s v="West"/>
    <x v="3"/>
    <s v="Oil"/>
    <n v="10"/>
    <n v="4788"/>
    <n v="47880"/>
  </r>
  <r>
    <x v="81"/>
    <s v="Vihaan"/>
    <x v="1"/>
    <x v="1"/>
    <s v="South"/>
    <x v="0"/>
    <s v="Bed"/>
    <n v="8"/>
    <n v="1807.67"/>
    <n v="14461.36"/>
  </r>
  <r>
    <x v="51"/>
    <s v="Aarav"/>
    <x v="2"/>
    <x v="2"/>
    <s v="South"/>
    <x v="3"/>
    <s v="Oil"/>
    <n v="19"/>
    <n v="797.02"/>
    <n v="15143.38"/>
  </r>
  <r>
    <x v="126"/>
    <s v="Vihaan"/>
    <x v="1"/>
    <x v="1"/>
    <s v="South"/>
    <x v="4"/>
    <s v="Smartphone"/>
    <n v="2"/>
    <n v="1195.99"/>
    <n v="2391.98"/>
  </r>
  <r>
    <x v="27"/>
    <s v="Aryan"/>
    <x v="10"/>
    <x v="3"/>
    <s v="West"/>
    <x v="2"/>
    <s v="Jacket"/>
    <n v="20"/>
    <n v="2056.65"/>
    <n v="41133"/>
  </r>
  <r>
    <x v="41"/>
    <s v="Aryan"/>
    <x v="5"/>
    <x v="1"/>
    <s v="South"/>
    <x v="0"/>
    <s v="Chair"/>
    <n v="16"/>
    <n v="4817.63"/>
    <n v="77082.080000000002"/>
  </r>
  <r>
    <x v="88"/>
    <s v="Vihaan"/>
    <x v="6"/>
    <x v="2"/>
    <s v="South"/>
    <x v="2"/>
    <s v="Shirt"/>
    <n v="7"/>
    <n v="4950.24"/>
    <n v="34651.68"/>
  </r>
  <r>
    <x v="71"/>
    <s v="Aryan"/>
    <x v="4"/>
    <x v="0"/>
    <s v="West"/>
    <x v="2"/>
    <s v="Shirt"/>
    <n v="9"/>
    <n v="2935.97"/>
    <n v="26423.73"/>
  </r>
  <r>
    <x v="178"/>
    <s v="Kabir"/>
    <x v="14"/>
    <x v="3"/>
    <s v="West"/>
    <x v="3"/>
    <s v="Lentils"/>
    <n v="9"/>
    <n v="3560.8"/>
    <n v="32047.200000000001"/>
  </r>
  <r>
    <x v="235"/>
    <s v="Kabir"/>
    <x v="10"/>
    <x v="3"/>
    <s v="West"/>
    <x v="1"/>
    <s v="Notebook"/>
    <n v="11"/>
    <n v="4890.92"/>
    <n v="53800.12"/>
  </r>
  <r>
    <x v="169"/>
    <s v="Ishita"/>
    <x v="6"/>
    <x v="2"/>
    <s v="South"/>
    <x v="2"/>
    <s v="Dress"/>
    <n v="8"/>
    <n v="4143.5600000000004"/>
    <n v="33148.480000000003"/>
  </r>
  <r>
    <x v="236"/>
    <s v="Ananya"/>
    <x v="5"/>
    <x v="1"/>
    <s v="South"/>
    <x v="3"/>
    <s v="Oil"/>
    <n v="4"/>
    <n v="2395.66"/>
    <n v="9582.64"/>
  </r>
  <r>
    <x v="237"/>
    <s v="Ishita"/>
    <x v="14"/>
    <x v="3"/>
    <s v="West"/>
    <x v="2"/>
    <s v="Pants"/>
    <n v="18"/>
    <n v="1582.02"/>
    <n v="28476.36"/>
  </r>
  <r>
    <x v="238"/>
    <s v="Meera"/>
    <x v="10"/>
    <x v="3"/>
    <s v="West"/>
    <x v="2"/>
    <s v="Shirt"/>
    <n v="14"/>
    <n v="3381.77"/>
    <n v="47344.78"/>
  </r>
  <r>
    <x v="54"/>
    <s v="Kabir"/>
    <x v="2"/>
    <x v="2"/>
    <s v="South"/>
    <x v="1"/>
    <s v="Eraser"/>
    <n v="16"/>
    <n v="2580.42"/>
    <n v="41286.720000000001"/>
  </r>
  <r>
    <x v="230"/>
    <s v="Riya"/>
    <x v="14"/>
    <x v="3"/>
    <s v="West"/>
    <x v="2"/>
    <s v="Shirt"/>
    <n v="3"/>
    <n v="3838.25"/>
    <n v="11514.75"/>
  </r>
  <r>
    <x v="97"/>
    <s v="Riya"/>
    <x v="5"/>
    <x v="1"/>
    <s v="South"/>
    <x v="3"/>
    <s v="Rice"/>
    <n v="2"/>
    <n v="591.6"/>
    <n v="1183.2"/>
  </r>
  <r>
    <x v="239"/>
    <s v="Nishant"/>
    <x v="13"/>
    <x v="4"/>
    <s v="North"/>
    <x v="2"/>
    <s v="Shirt"/>
    <n v="1"/>
    <n v="2709.05"/>
    <n v="2709.05"/>
  </r>
  <r>
    <x v="237"/>
    <s v="Aditi"/>
    <x v="2"/>
    <x v="2"/>
    <s v="South"/>
    <x v="4"/>
    <s v="Smartphone"/>
    <n v="5"/>
    <n v="194.7"/>
    <n v="973.5"/>
  </r>
  <r>
    <x v="192"/>
    <s v="Nishant"/>
    <x v="10"/>
    <x v="3"/>
    <s v="West"/>
    <x v="1"/>
    <s v="Eraser"/>
    <n v="4"/>
    <n v="900.33"/>
    <n v="3601.32"/>
  </r>
  <r>
    <x v="240"/>
    <s v="Ishita"/>
    <x v="3"/>
    <x v="1"/>
    <s v="South"/>
    <x v="3"/>
    <s v="Lentils"/>
    <n v="13"/>
    <n v="3574.45"/>
    <n v="46467.85"/>
  </r>
  <r>
    <x v="78"/>
    <s v="Vihaan"/>
    <x v="8"/>
    <x v="4"/>
    <s v="North"/>
    <x v="4"/>
    <s v="Headphones"/>
    <n v="20"/>
    <n v="1637.44"/>
    <n v="32748.799999999999"/>
  </r>
  <r>
    <x v="112"/>
    <s v="Nishant"/>
    <x v="12"/>
    <x v="2"/>
    <s v="South"/>
    <x v="0"/>
    <s v="Sofa"/>
    <n v="14"/>
    <n v="3177.8"/>
    <n v="44489.2"/>
  </r>
  <r>
    <x v="193"/>
    <s v="Aarav"/>
    <x v="6"/>
    <x v="2"/>
    <s v="South"/>
    <x v="4"/>
    <s v="Laptop"/>
    <n v="1"/>
    <n v="3382.37"/>
    <n v="3382.37"/>
  </r>
  <r>
    <x v="63"/>
    <s v="Meera"/>
    <x v="8"/>
    <x v="4"/>
    <s v="North"/>
    <x v="1"/>
    <s v="Notebook"/>
    <n v="19"/>
    <n v="2816.52"/>
    <n v="53513.88"/>
  </r>
  <r>
    <x v="14"/>
    <s v="Meera"/>
    <x v="13"/>
    <x v="4"/>
    <s v="North"/>
    <x v="3"/>
    <s v="Sugar"/>
    <n v="13"/>
    <n v="3417.94"/>
    <n v="44433.22"/>
  </r>
  <r>
    <x v="5"/>
    <s v="Meera"/>
    <x v="6"/>
    <x v="2"/>
    <s v="South"/>
    <x v="2"/>
    <s v="Jacket"/>
    <n v="14"/>
    <n v="917.55"/>
    <n v="12845.7"/>
  </r>
  <r>
    <x v="241"/>
    <s v="Riya"/>
    <x v="0"/>
    <x v="0"/>
    <s v="West"/>
    <x v="4"/>
    <s v="Headphones"/>
    <n v="1"/>
    <n v="1598.87"/>
    <n v="1598.87"/>
  </r>
  <r>
    <x v="220"/>
    <s v="Riya"/>
    <x v="8"/>
    <x v="4"/>
    <s v="North"/>
    <x v="0"/>
    <s v="Table"/>
    <n v="7"/>
    <n v="405.27"/>
    <n v="2836.89"/>
  </r>
  <r>
    <x v="242"/>
    <s v="Riya"/>
    <x v="4"/>
    <x v="0"/>
    <s v="West"/>
    <x v="3"/>
    <s v="Rice"/>
    <n v="5"/>
    <n v="2819.92"/>
    <n v="14099.6"/>
  </r>
  <r>
    <x v="243"/>
    <s v="Nishant"/>
    <x v="6"/>
    <x v="2"/>
    <s v="South"/>
    <x v="4"/>
    <s v="Headphones"/>
    <n v="7"/>
    <n v="4023.6"/>
    <n v="28165.200000000001"/>
  </r>
  <r>
    <x v="44"/>
    <s v="Aditi"/>
    <x v="5"/>
    <x v="1"/>
    <s v="South"/>
    <x v="3"/>
    <s v="Rice"/>
    <n v="6"/>
    <n v="4911.79"/>
    <n v="29470.74"/>
  </r>
  <r>
    <x v="122"/>
    <s v="Aarav"/>
    <x v="12"/>
    <x v="2"/>
    <s v="South"/>
    <x v="0"/>
    <s v="Bed"/>
    <n v="7"/>
    <n v="2186.75"/>
    <n v="15307.25"/>
  </r>
  <r>
    <x v="57"/>
    <s v="Kabir"/>
    <x v="8"/>
    <x v="4"/>
    <s v="North"/>
    <x v="1"/>
    <s v="Ruler"/>
    <n v="9"/>
    <n v="2304.23"/>
    <n v="20738.07"/>
  </r>
  <r>
    <x v="244"/>
    <s v="Aarav"/>
    <x v="4"/>
    <x v="0"/>
    <s v="West"/>
    <x v="4"/>
    <s v="Laptop"/>
    <n v="6"/>
    <n v="2282.5500000000002"/>
    <n v="13695.3"/>
  </r>
  <r>
    <x v="192"/>
    <s v="Aditi"/>
    <x v="7"/>
    <x v="3"/>
    <s v="West"/>
    <x v="4"/>
    <s v="Smartphone"/>
    <n v="4"/>
    <n v="4778.2299999999996"/>
    <n v="19112.919999999998"/>
  </r>
  <r>
    <x v="6"/>
    <s v="Riya"/>
    <x v="1"/>
    <x v="1"/>
    <s v="South"/>
    <x v="2"/>
    <s v="Shirt"/>
    <n v="11"/>
    <n v="1286.08"/>
    <n v="14146.88"/>
  </r>
  <r>
    <x v="245"/>
    <s v="Aryan"/>
    <x v="9"/>
    <x v="0"/>
    <s v="West"/>
    <x v="4"/>
    <s v="Tablet"/>
    <n v="19"/>
    <n v="1844.31"/>
    <n v="35041.89"/>
  </r>
  <r>
    <x v="132"/>
    <s v="Aryan"/>
    <x v="7"/>
    <x v="3"/>
    <s v="West"/>
    <x v="2"/>
    <s v="Dress"/>
    <n v="14"/>
    <n v="148.43"/>
    <n v="2078.02"/>
  </r>
  <r>
    <x v="213"/>
    <s v="Aryan"/>
    <x v="14"/>
    <x v="3"/>
    <s v="West"/>
    <x v="1"/>
    <s v="Eraser"/>
    <n v="3"/>
    <n v="2502.81"/>
    <n v="7508.43"/>
  </r>
  <r>
    <x v="27"/>
    <s v="Kabir"/>
    <x v="7"/>
    <x v="3"/>
    <s v="West"/>
    <x v="0"/>
    <s v="Bed"/>
    <n v="7"/>
    <n v="3721.37"/>
    <n v="26049.59"/>
  </r>
  <r>
    <x v="246"/>
    <s v="Aryan"/>
    <x v="1"/>
    <x v="1"/>
    <s v="South"/>
    <x v="0"/>
    <s v="Sofa"/>
    <n v="2"/>
    <n v="3719.83"/>
    <n v="7439.66"/>
  </r>
  <r>
    <x v="233"/>
    <s v="Nishant"/>
    <x v="11"/>
    <x v="4"/>
    <s v="North"/>
    <x v="2"/>
    <s v="Dress"/>
    <n v="19"/>
    <n v="2862.47"/>
    <n v="54386.93"/>
  </r>
  <r>
    <x v="19"/>
    <s v="Ishita"/>
    <x v="3"/>
    <x v="1"/>
    <s v="South"/>
    <x v="1"/>
    <s v="Ruler"/>
    <n v="5"/>
    <n v="4715.05"/>
    <n v="23575.25"/>
  </r>
  <r>
    <x v="208"/>
    <s v="Nishant"/>
    <x v="13"/>
    <x v="4"/>
    <s v="North"/>
    <x v="3"/>
    <s v="Sugar"/>
    <n v="11"/>
    <n v="3314"/>
    <n v="36454"/>
  </r>
  <r>
    <x v="89"/>
    <s v="Aarav"/>
    <x v="6"/>
    <x v="2"/>
    <s v="South"/>
    <x v="0"/>
    <s v="Table"/>
    <n v="3"/>
    <n v="4146.75"/>
    <n v="12440.25"/>
  </r>
  <r>
    <x v="61"/>
    <s v="Aryan"/>
    <x v="5"/>
    <x v="1"/>
    <s v="South"/>
    <x v="4"/>
    <s v="Tablet"/>
    <n v="4"/>
    <n v="4062.52"/>
    <n v="16250.08"/>
  </r>
  <r>
    <x v="235"/>
    <s v="Aryan"/>
    <x v="12"/>
    <x v="2"/>
    <s v="South"/>
    <x v="4"/>
    <s v="Tablet"/>
    <n v="4"/>
    <n v="3022.21"/>
    <n v="12088.84"/>
  </r>
  <r>
    <x v="41"/>
    <s v="Nishant"/>
    <x v="11"/>
    <x v="4"/>
    <s v="North"/>
    <x v="3"/>
    <s v="Rice"/>
    <n v="7"/>
    <n v="217.04"/>
    <n v="1519.28"/>
  </r>
  <r>
    <x v="4"/>
    <s v="Aryan"/>
    <x v="12"/>
    <x v="2"/>
    <s v="South"/>
    <x v="3"/>
    <s v="Rice"/>
    <n v="2"/>
    <n v="4883.5600000000004"/>
    <n v="9767.1200000000008"/>
  </r>
  <r>
    <x v="247"/>
    <s v="Kabir"/>
    <x v="14"/>
    <x v="3"/>
    <s v="West"/>
    <x v="4"/>
    <s v="Smartphone"/>
    <n v="16"/>
    <n v="2015.76"/>
    <n v="32252.16"/>
  </r>
  <r>
    <x v="50"/>
    <s v="Ananya"/>
    <x v="2"/>
    <x v="2"/>
    <s v="South"/>
    <x v="3"/>
    <s v="Lentils"/>
    <n v="1"/>
    <n v="2777.22"/>
    <n v="2777.22"/>
  </r>
  <r>
    <x v="152"/>
    <s v="Vihaan"/>
    <x v="2"/>
    <x v="2"/>
    <s v="South"/>
    <x v="0"/>
    <s v="Bed"/>
    <n v="13"/>
    <n v="4318.62"/>
    <n v="56142.06"/>
  </r>
  <r>
    <x v="248"/>
    <s v="Kabir"/>
    <x v="0"/>
    <x v="0"/>
    <s v="West"/>
    <x v="4"/>
    <s v="Smartphone"/>
    <n v="15"/>
    <n v="3225.2"/>
    <n v="48378"/>
  </r>
  <r>
    <x v="228"/>
    <s v="Aarav"/>
    <x v="0"/>
    <x v="0"/>
    <s v="West"/>
    <x v="4"/>
    <s v="Smartphone"/>
    <n v="9"/>
    <n v="631.99"/>
    <n v="5687.91"/>
  </r>
  <r>
    <x v="135"/>
    <s v="Aditi"/>
    <x v="11"/>
    <x v="4"/>
    <s v="North"/>
    <x v="1"/>
    <s v="Pen"/>
    <n v="16"/>
    <n v="981"/>
    <n v="15696"/>
  </r>
  <r>
    <x v="146"/>
    <s v="Ananya"/>
    <x v="7"/>
    <x v="3"/>
    <s v="West"/>
    <x v="4"/>
    <s v="Laptop"/>
    <n v="14"/>
    <n v="1049.21"/>
    <n v="14688.94"/>
  </r>
  <r>
    <x v="246"/>
    <s v="Kabir"/>
    <x v="1"/>
    <x v="1"/>
    <s v="South"/>
    <x v="0"/>
    <s v="Table"/>
    <n v="3"/>
    <n v="3276.84"/>
    <n v="9830.52"/>
  </r>
  <r>
    <x v="249"/>
    <s v="Aditi"/>
    <x v="4"/>
    <x v="0"/>
    <s v="West"/>
    <x v="4"/>
    <s v="Headphones"/>
    <n v="10"/>
    <n v="1693.46"/>
    <n v="16934.599999999999"/>
  </r>
  <r>
    <x v="140"/>
    <s v="Ananya"/>
    <x v="13"/>
    <x v="4"/>
    <s v="North"/>
    <x v="1"/>
    <s v="Pen"/>
    <n v="15"/>
    <n v="1790.58"/>
    <n v="26858.7"/>
  </r>
  <r>
    <x v="123"/>
    <s v="Ishita"/>
    <x v="7"/>
    <x v="3"/>
    <s v="West"/>
    <x v="0"/>
    <s v="Bed"/>
    <n v="16"/>
    <n v="1018.83"/>
    <n v="16301.28"/>
  </r>
  <r>
    <x v="70"/>
    <s v="Aarav"/>
    <x v="12"/>
    <x v="2"/>
    <s v="South"/>
    <x v="4"/>
    <s v="Tablet"/>
    <n v="6"/>
    <n v="1246.5899999999999"/>
    <n v="7479.54"/>
  </r>
  <r>
    <x v="28"/>
    <s v="Aryan"/>
    <x v="1"/>
    <x v="1"/>
    <s v="South"/>
    <x v="3"/>
    <s v="Sugar"/>
    <n v="14"/>
    <n v="859.79"/>
    <n v="12037.06"/>
  </r>
  <r>
    <x v="205"/>
    <s v="Meera"/>
    <x v="13"/>
    <x v="4"/>
    <s v="North"/>
    <x v="2"/>
    <s v="Pants"/>
    <n v="12"/>
    <n v="149.16"/>
    <n v="1789.92"/>
  </r>
  <r>
    <x v="250"/>
    <s v="Ishita"/>
    <x v="0"/>
    <x v="0"/>
    <s v="West"/>
    <x v="0"/>
    <s v="Bed"/>
    <n v="20"/>
    <n v="1108.83"/>
    <n v="22176.6"/>
  </r>
  <r>
    <x v="154"/>
    <s v="Aarav"/>
    <x v="2"/>
    <x v="2"/>
    <s v="South"/>
    <x v="0"/>
    <s v="Chair"/>
    <n v="8"/>
    <n v="3628.65"/>
    <n v="29029.200000000001"/>
  </r>
  <r>
    <x v="5"/>
    <s v="Meera"/>
    <x v="7"/>
    <x v="3"/>
    <s v="West"/>
    <x v="2"/>
    <s v="Pants"/>
    <n v="19"/>
    <n v="1317.72"/>
    <n v="25036.68"/>
  </r>
  <r>
    <x v="251"/>
    <s v="Ishita"/>
    <x v="11"/>
    <x v="4"/>
    <s v="North"/>
    <x v="2"/>
    <s v="Jacket"/>
    <n v="16"/>
    <n v="2995.01"/>
    <n v="47920.160000000003"/>
  </r>
  <r>
    <x v="214"/>
    <s v="Aarav"/>
    <x v="9"/>
    <x v="0"/>
    <s v="West"/>
    <x v="0"/>
    <s v="Chair"/>
    <n v="11"/>
    <n v="2318.96"/>
    <n v="25508.560000000001"/>
  </r>
  <r>
    <x v="31"/>
    <s v="Nishant"/>
    <x v="6"/>
    <x v="2"/>
    <s v="South"/>
    <x v="3"/>
    <s v="Sugar"/>
    <n v="14"/>
    <n v="4935.3"/>
    <n v="69094.2"/>
  </r>
  <r>
    <x v="252"/>
    <s v="Ananya"/>
    <x v="12"/>
    <x v="2"/>
    <s v="South"/>
    <x v="0"/>
    <s v="Bed"/>
    <n v="1"/>
    <n v="1083.26"/>
    <n v="1083.26"/>
  </r>
  <r>
    <x v="231"/>
    <s v="Aryan"/>
    <x v="3"/>
    <x v="1"/>
    <s v="South"/>
    <x v="0"/>
    <s v="Bed"/>
    <n v="11"/>
    <n v="1673.53"/>
    <n v="18408.830000000002"/>
  </r>
  <r>
    <x v="161"/>
    <s v="Aditi"/>
    <x v="7"/>
    <x v="3"/>
    <s v="West"/>
    <x v="4"/>
    <s v="Smartphone"/>
    <n v="10"/>
    <n v="3829.38"/>
    <n v="38293.800000000003"/>
  </r>
  <r>
    <x v="44"/>
    <s v="Aryan"/>
    <x v="2"/>
    <x v="2"/>
    <s v="South"/>
    <x v="2"/>
    <s v="Dress"/>
    <n v="6"/>
    <n v="470.36"/>
    <n v="2822.16"/>
  </r>
  <r>
    <x v="117"/>
    <s v="Kabir"/>
    <x v="9"/>
    <x v="0"/>
    <s v="West"/>
    <x v="4"/>
    <s v="Smartphone"/>
    <n v="12"/>
    <n v="2489.14"/>
    <n v="29869.68"/>
  </r>
  <r>
    <x v="155"/>
    <s v="Aryan"/>
    <x v="2"/>
    <x v="2"/>
    <s v="South"/>
    <x v="2"/>
    <s v="Jacket"/>
    <n v="14"/>
    <n v="1729.16"/>
    <n v="24208.240000000002"/>
  </r>
  <r>
    <x v="253"/>
    <s v="Meera"/>
    <x v="5"/>
    <x v="1"/>
    <s v="South"/>
    <x v="1"/>
    <s v="Pen"/>
    <n v="2"/>
    <n v="2789.92"/>
    <n v="5579.84"/>
  </r>
  <r>
    <x v="59"/>
    <s v="Riya"/>
    <x v="6"/>
    <x v="2"/>
    <s v="South"/>
    <x v="2"/>
    <s v="Dress"/>
    <n v="17"/>
    <n v="3244.79"/>
    <n v="55161.43"/>
  </r>
  <r>
    <x v="125"/>
    <s v="Nishant"/>
    <x v="12"/>
    <x v="2"/>
    <s v="South"/>
    <x v="1"/>
    <s v="Ruler"/>
    <n v="20"/>
    <n v="2155.17"/>
    <n v="43103.4"/>
  </r>
  <r>
    <x v="104"/>
    <s v="Ananya"/>
    <x v="1"/>
    <x v="1"/>
    <s v="South"/>
    <x v="3"/>
    <s v="Sugar"/>
    <n v="13"/>
    <n v="2526.1999999999998"/>
    <n v="32840.6"/>
  </r>
  <r>
    <x v="33"/>
    <s v="Riya"/>
    <x v="3"/>
    <x v="1"/>
    <s v="South"/>
    <x v="4"/>
    <s v="Laptop"/>
    <n v="11"/>
    <n v="1995.21"/>
    <n v="21947.31"/>
  </r>
  <r>
    <x v="118"/>
    <s v="Ananya"/>
    <x v="7"/>
    <x v="3"/>
    <s v="West"/>
    <x v="1"/>
    <s v="Ruler"/>
    <n v="4"/>
    <n v="1139.74"/>
    <n v="4558.96"/>
  </r>
  <r>
    <x v="175"/>
    <s v="Kabir"/>
    <x v="11"/>
    <x v="4"/>
    <s v="North"/>
    <x v="0"/>
    <s v="Sofa"/>
    <n v="4"/>
    <n v="3015.93"/>
    <n v="12063.72"/>
  </r>
  <r>
    <x v="203"/>
    <s v="Ananya"/>
    <x v="5"/>
    <x v="1"/>
    <s v="South"/>
    <x v="2"/>
    <s v="Pants"/>
    <n v="4"/>
    <n v="3831.39"/>
    <n v="15325.56"/>
  </r>
  <r>
    <x v="97"/>
    <s v="Meera"/>
    <x v="4"/>
    <x v="0"/>
    <s v="West"/>
    <x v="2"/>
    <s v="Dress"/>
    <n v="7"/>
    <n v="105.05"/>
    <n v="735.35"/>
  </r>
  <r>
    <x v="84"/>
    <s v="Vihaan"/>
    <x v="7"/>
    <x v="3"/>
    <s v="West"/>
    <x v="1"/>
    <s v="Pen"/>
    <n v="11"/>
    <n v="2416.1799999999998"/>
    <n v="26577.98"/>
  </r>
  <r>
    <x v="254"/>
    <s v="Aarav"/>
    <x v="7"/>
    <x v="3"/>
    <s v="West"/>
    <x v="1"/>
    <s v="Pen"/>
    <n v="1"/>
    <n v="549.14"/>
    <n v="549.14"/>
  </r>
  <r>
    <x v="127"/>
    <s v="Aarav"/>
    <x v="3"/>
    <x v="1"/>
    <s v="South"/>
    <x v="3"/>
    <s v="Lentils"/>
    <n v="10"/>
    <n v="3771.5"/>
    <n v="37715"/>
  </r>
  <r>
    <x v="250"/>
    <s v="Vihaan"/>
    <x v="7"/>
    <x v="3"/>
    <s v="West"/>
    <x v="0"/>
    <s v="Sofa"/>
    <n v="13"/>
    <n v="956.49"/>
    <n v="12434.37"/>
  </r>
  <r>
    <x v="101"/>
    <s v="Nishant"/>
    <x v="2"/>
    <x v="2"/>
    <s v="South"/>
    <x v="0"/>
    <s v="Bed"/>
    <n v="19"/>
    <n v="3575.92"/>
    <n v="67942.48"/>
  </r>
  <r>
    <x v="65"/>
    <s v="Ananya"/>
    <x v="10"/>
    <x v="3"/>
    <s v="West"/>
    <x v="4"/>
    <s v="Smartphone"/>
    <n v="8"/>
    <n v="3971.12"/>
    <n v="31768.959999999999"/>
  </r>
  <r>
    <x v="228"/>
    <s v="Ishita"/>
    <x v="3"/>
    <x v="1"/>
    <s v="South"/>
    <x v="2"/>
    <s v="Shirt"/>
    <n v="14"/>
    <n v="3631.62"/>
    <n v="50842.68"/>
  </r>
  <r>
    <x v="6"/>
    <s v="Aryan"/>
    <x v="0"/>
    <x v="0"/>
    <s v="West"/>
    <x v="0"/>
    <s v="Bed"/>
    <n v="18"/>
    <n v="2589.64"/>
    <n v="46613.52"/>
  </r>
  <r>
    <x v="139"/>
    <s v="Ishita"/>
    <x v="10"/>
    <x v="3"/>
    <s v="West"/>
    <x v="3"/>
    <s v="Sugar"/>
    <n v="2"/>
    <n v="2713.34"/>
    <n v="5426.68"/>
  </r>
  <r>
    <x v="76"/>
    <s v="Aarav"/>
    <x v="2"/>
    <x v="2"/>
    <s v="South"/>
    <x v="1"/>
    <s v="Ruler"/>
    <n v="17"/>
    <n v="1294.56"/>
    <n v="22007.52"/>
  </r>
  <r>
    <x v="69"/>
    <s v="Ishita"/>
    <x v="13"/>
    <x v="4"/>
    <s v="North"/>
    <x v="1"/>
    <s v="Ruler"/>
    <n v="8"/>
    <n v="1171.53"/>
    <n v="9372.24"/>
  </r>
  <r>
    <x v="151"/>
    <s v="Aryan"/>
    <x v="8"/>
    <x v="4"/>
    <s v="North"/>
    <x v="2"/>
    <s v="Jacket"/>
    <n v="15"/>
    <n v="4060.63"/>
    <n v="60909.45"/>
  </r>
  <r>
    <x v="255"/>
    <s v="Aarav"/>
    <x v="0"/>
    <x v="0"/>
    <s v="West"/>
    <x v="3"/>
    <s v="Lentils"/>
    <n v="4"/>
    <n v="442.23"/>
    <n v="1768.92"/>
  </r>
  <r>
    <x v="31"/>
    <s v="Aryan"/>
    <x v="0"/>
    <x v="0"/>
    <s v="West"/>
    <x v="1"/>
    <s v="Eraser"/>
    <n v="5"/>
    <n v="3725.36"/>
    <n v="18626.8"/>
  </r>
  <r>
    <x v="251"/>
    <s v="Aryan"/>
    <x v="7"/>
    <x v="3"/>
    <s v="West"/>
    <x v="2"/>
    <s v="Dress"/>
    <n v="20"/>
    <n v="2974.89"/>
    <n v="59497.8"/>
  </r>
  <r>
    <x v="84"/>
    <s v="Aryan"/>
    <x v="3"/>
    <x v="1"/>
    <s v="South"/>
    <x v="2"/>
    <s v="Jacket"/>
    <n v="1"/>
    <n v="1717.6"/>
    <n v="1717.6"/>
  </r>
  <r>
    <x v="180"/>
    <s v="Riya"/>
    <x v="13"/>
    <x v="4"/>
    <s v="North"/>
    <x v="0"/>
    <s v="Chair"/>
    <n v="5"/>
    <n v="2849.56"/>
    <n v="14247.8"/>
  </r>
  <r>
    <x v="44"/>
    <s v="Meera"/>
    <x v="10"/>
    <x v="3"/>
    <s v="West"/>
    <x v="1"/>
    <s v="Ruler"/>
    <n v="18"/>
    <n v="4150.7700000000004"/>
    <n v="74713.86"/>
  </r>
  <r>
    <x v="256"/>
    <s v="Riya"/>
    <x v="9"/>
    <x v="0"/>
    <s v="West"/>
    <x v="1"/>
    <s v="Notebook"/>
    <n v="18"/>
    <n v="2490.14"/>
    <n v="44822.52"/>
  </r>
  <r>
    <x v="124"/>
    <s v="Riya"/>
    <x v="11"/>
    <x v="4"/>
    <s v="North"/>
    <x v="1"/>
    <s v="Ruler"/>
    <n v="17"/>
    <n v="500.54"/>
    <n v="8509.18"/>
  </r>
  <r>
    <x v="257"/>
    <s v="Kabir"/>
    <x v="8"/>
    <x v="4"/>
    <s v="North"/>
    <x v="4"/>
    <s v="Smartphone"/>
    <n v="19"/>
    <n v="1067.94"/>
    <n v="20290.86"/>
  </r>
  <r>
    <x v="96"/>
    <s v="Kabir"/>
    <x v="12"/>
    <x v="2"/>
    <s v="South"/>
    <x v="3"/>
    <s v="Sugar"/>
    <n v="7"/>
    <n v="2264.87"/>
    <n v="15854.09"/>
  </r>
  <r>
    <x v="258"/>
    <s v="Vihaan"/>
    <x v="11"/>
    <x v="4"/>
    <s v="North"/>
    <x v="3"/>
    <s v="Rice"/>
    <n v="18"/>
    <n v="2584.0700000000002"/>
    <n v="46513.26"/>
  </r>
  <r>
    <x v="257"/>
    <s v="Kabir"/>
    <x v="2"/>
    <x v="2"/>
    <s v="South"/>
    <x v="1"/>
    <s v="Pen"/>
    <n v="13"/>
    <n v="4621.13"/>
    <n v="60074.69"/>
  </r>
  <r>
    <x v="229"/>
    <s v="Vihaan"/>
    <x v="11"/>
    <x v="4"/>
    <s v="North"/>
    <x v="3"/>
    <s v="Lentils"/>
    <n v="16"/>
    <n v="4826.2"/>
    <n v="77219.199999999997"/>
  </r>
  <r>
    <x v="259"/>
    <s v="Ishita"/>
    <x v="6"/>
    <x v="2"/>
    <s v="South"/>
    <x v="4"/>
    <s v="Laptop"/>
    <n v="5"/>
    <n v="4773.5600000000004"/>
    <n v="23867.8"/>
  </r>
  <r>
    <x v="93"/>
    <s v="Kabir"/>
    <x v="3"/>
    <x v="1"/>
    <s v="South"/>
    <x v="3"/>
    <s v="Sugar"/>
    <n v="9"/>
    <n v="3220.44"/>
    <n v="28983.96"/>
  </r>
  <r>
    <x v="201"/>
    <s v="Kabir"/>
    <x v="5"/>
    <x v="1"/>
    <s v="South"/>
    <x v="3"/>
    <s v="Rice"/>
    <n v="15"/>
    <n v="4945.79"/>
    <n v="74186.850000000006"/>
  </r>
  <r>
    <x v="213"/>
    <s v="Aditi"/>
    <x v="1"/>
    <x v="1"/>
    <s v="South"/>
    <x v="2"/>
    <s v="Jacket"/>
    <n v="14"/>
    <n v="2355.56"/>
    <n v="32977.839999999997"/>
  </r>
  <r>
    <x v="24"/>
    <s v="Vihaan"/>
    <x v="7"/>
    <x v="3"/>
    <s v="West"/>
    <x v="2"/>
    <s v="Pants"/>
    <n v="4"/>
    <n v="4412.41"/>
    <n v="17649.64"/>
  </r>
  <r>
    <x v="120"/>
    <s v="Aryan"/>
    <x v="8"/>
    <x v="4"/>
    <s v="North"/>
    <x v="1"/>
    <s v="Pen"/>
    <n v="5"/>
    <n v="355.6"/>
    <n v="1778"/>
  </r>
  <r>
    <x v="186"/>
    <s v="Aditi"/>
    <x v="0"/>
    <x v="0"/>
    <s v="West"/>
    <x v="4"/>
    <s v="Headphones"/>
    <n v="12"/>
    <n v="4405.1899999999996"/>
    <n v="52862.28"/>
  </r>
  <r>
    <x v="260"/>
    <s v="Vihaan"/>
    <x v="13"/>
    <x v="4"/>
    <s v="North"/>
    <x v="3"/>
    <s v="Rice"/>
    <n v="9"/>
    <n v="877.89"/>
    <n v="7901.01"/>
  </r>
  <r>
    <x v="261"/>
    <s v="Vihaan"/>
    <x v="14"/>
    <x v="3"/>
    <s v="West"/>
    <x v="2"/>
    <s v="Pants"/>
    <n v="1"/>
    <n v="2970.66"/>
    <n v="2970.66"/>
  </r>
  <r>
    <x v="251"/>
    <s v="Riya"/>
    <x v="0"/>
    <x v="0"/>
    <s v="West"/>
    <x v="0"/>
    <s v="Sofa"/>
    <n v="15"/>
    <n v="3579.98"/>
    <n v="53699.7"/>
  </r>
  <r>
    <x v="231"/>
    <s v="Kabir"/>
    <x v="14"/>
    <x v="3"/>
    <s v="West"/>
    <x v="4"/>
    <s v="Laptop"/>
    <n v="9"/>
    <n v="1605.02"/>
    <n v="14445.18"/>
  </r>
  <r>
    <x v="119"/>
    <s v="Meera"/>
    <x v="5"/>
    <x v="1"/>
    <s v="South"/>
    <x v="4"/>
    <s v="Headphones"/>
    <n v="12"/>
    <n v="1982.64"/>
    <n v="23791.68"/>
  </r>
  <r>
    <x v="262"/>
    <s v="Ananya"/>
    <x v="14"/>
    <x v="3"/>
    <s v="West"/>
    <x v="1"/>
    <s v="Notebook"/>
    <n v="20"/>
    <n v="3195.53"/>
    <n v="63910.6"/>
  </r>
  <r>
    <x v="53"/>
    <s v="Kabir"/>
    <x v="7"/>
    <x v="3"/>
    <s v="West"/>
    <x v="3"/>
    <s v="Sugar"/>
    <n v="20"/>
    <n v="1580.59"/>
    <n v="31611.8"/>
  </r>
  <r>
    <x v="134"/>
    <s v="Aditi"/>
    <x v="12"/>
    <x v="2"/>
    <s v="South"/>
    <x v="4"/>
    <s v="Smartphone"/>
    <n v="6"/>
    <n v="809.57"/>
    <n v="4857.42"/>
  </r>
  <r>
    <x v="263"/>
    <s v="Riya"/>
    <x v="9"/>
    <x v="0"/>
    <s v="West"/>
    <x v="1"/>
    <s v="Eraser"/>
    <n v="6"/>
    <n v="1221.52"/>
    <n v="7329.12"/>
  </r>
  <r>
    <x v="61"/>
    <s v="Nishant"/>
    <x v="6"/>
    <x v="2"/>
    <s v="South"/>
    <x v="0"/>
    <s v="Table"/>
    <n v="4"/>
    <n v="2457.5"/>
    <n v="9830"/>
  </r>
  <r>
    <x v="4"/>
    <s v="Nishant"/>
    <x v="12"/>
    <x v="2"/>
    <s v="South"/>
    <x v="1"/>
    <s v="Notebook"/>
    <n v="12"/>
    <n v="2820.88"/>
    <n v="33850.559999999998"/>
  </r>
  <r>
    <x v="264"/>
    <s v="Ananya"/>
    <x v="4"/>
    <x v="0"/>
    <s v="West"/>
    <x v="1"/>
    <s v="Ruler"/>
    <n v="10"/>
    <n v="1512.64"/>
    <n v="15126.4"/>
  </r>
  <r>
    <x v="262"/>
    <s v="Aarav"/>
    <x v="8"/>
    <x v="4"/>
    <s v="North"/>
    <x v="3"/>
    <s v="Lentils"/>
    <n v="5"/>
    <n v="3199.14"/>
    <n v="15995.7"/>
  </r>
  <r>
    <x v="265"/>
    <s v="Meera"/>
    <x v="7"/>
    <x v="3"/>
    <s v="West"/>
    <x v="4"/>
    <s v="Tablet"/>
    <n v="11"/>
    <n v="4315"/>
    <n v="47465"/>
  </r>
  <r>
    <x v="198"/>
    <s v="Vihaan"/>
    <x v="0"/>
    <x v="0"/>
    <s v="West"/>
    <x v="3"/>
    <s v="Sugar"/>
    <n v="9"/>
    <n v="2118.17"/>
    <n v="19063.53"/>
  </r>
  <r>
    <x v="113"/>
    <s v="Kabir"/>
    <x v="8"/>
    <x v="4"/>
    <s v="North"/>
    <x v="1"/>
    <s v="Eraser"/>
    <n v="18"/>
    <n v="1042.99"/>
    <n v="18773.82"/>
  </r>
  <r>
    <x v="8"/>
    <s v="Vihaan"/>
    <x v="11"/>
    <x v="4"/>
    <s v="North"/>
    <x v="4"/>
    <s v="Tablet"/>
    <n v="6"/>
    <n v="4707.38"/>
    <n v="28244.28"/>
  </r>
  <r>
    <x v="266"/>
    <s v="Ishita"/>
    <x v="0"/>
    <x v="0"/>
    <s v="West"/>
    <x v="3"/>
    <s v="Sugar"/>
    <n v="8"/>
    <n v="360.87"/>
    <n v="2886.96"/>
  </r>
  <r>
    <x v="213"/>
    <s v="Aditi"/>
    <x v="5"/>
    <x v="1"/>
    <s v="South"/>
    <x v="1"/>
    <s v="Pen"/>
    <n v="12"/>
    <n v="2519.65"/>
    <n v="30235.8"/>
  </r>
  <r>
    <x v="53"/>
    <s v="Nishant"/>
    <x v="8"/>
    <x v="4"/>
    <s v="North"/>
    <x v="1"/>
    <s v="Eraser"/>
    <n v="7"/>
    <n v="2861.67"/>
    <n v="20031.689999999999"/>
  </r>
  <r>
    <x v="141"/>
    <s v="Nishant"/>
    <x v="13"/>
    <x v="4"/>
    <s v="North"/>
    <x v="3"/>
    <s v="Rice"/>
    <n v="11"/>
    <n v="4896.83"/>
    <n v="53865.13"/>
  </r>
  <r>
    <x v="257"/>
    <s v="Vihaan"/>
    <x v="7"/>
    <x v="3"/>
    <s v="West"/>
    <x v="4"/>
    <s v="Laptop"/>
    <n v="15"/>
    <n v="4180.6099999999997"/>
    <n v="62709.15"/>
  </r>
  <r>
    <x v="267"/>
    <s v="Aarav"/>
    <x v="11"/>
    <x v="4"/>
    <s v="North"/>
    <x v="3"/>
    <s v="Lentils"/>
    <n v="2"/>
    <n v="3747.71"/>
    <n v="7495.42"/>
  </r>
  <r>
    <x v="268"/>
    <s v="Ananya"/>
    <x v="11"/>
    <x v="4"/>
    <s v="North"/>
    <x v="1"/>
    <s v="Pen"/>
    <n v="3"/>
    <n v="2792.38"/>
    <n v="8377.14"/>
  </r>
  <r>
    <x v="269"/>
    <s v="Ishita"/>
    <x v="4"/>
    <x v="0"/>
    <s v="West"/>
    <x v="4"/>
    <s v="Laptop"/>
    <n v="17"/>
    <n v="683.31"/>
    <n v="11616.27"/>
  </r>
  <r>
    <x v="179"/>
    <s v="Aarav"/>
    <x v="13"/>
    <x v="4"/>
    <s v="North"/>
    <x v="2"/>
    <s v="Shirt"/>
    <n v="20"/>
    <n v="3463.6"/>
    <n v="69272"/>
  </r>
  <r>
    <x v="270"/>
    <s v="Aditi"/>
    <x v="6"/>
    <x v="2"/>
    <s v="South"/>
    <x v="1"/>
    <s v="Notebook"/>
    <n v="9"/>
    <n v="1609.98"/>
    <n v="14489.82"/>
  </r>
  <r>
    <x v="271"/>
    <s v="Vihaan"/>
    <x v="4"/>
    <x v="0"/>
    <s v="West"/>
    <x v="1"/>
    <s v="Pen"/>
    <n v="4"/>
    <n v="2836.34"/>
    <n v="11345.36"/>
  </r>
  <r>
    <x v="101"/>
    <s v="Aryan"/>
    <x v="7"/>
    <x v="3"/>
    <s v="West"/>
    <x v="4"/>
    <s v="Smartphone"/>
    <n v="18"/>
    <n v="3238.98"/>
    <n v="58301.64"/>
  </r>
  <r>
    <x v="177"/>
    <s v="Aditi"/>
    <x v="6"/>
    <x v="2"/>
    <s v="South"/>
    <x v="0"/>
    <s v="Sofa"/>
    <n v="20"/>
    <n v="2791.25"/>
    <n v="55825"/>
  </r>
  <r>
    <x v="253"/>
    <s v="Vihaan"/>
    <x v="10"/>
    <x v="3"/>
    <s v="West"/>
    <x v="2"/>
    <s v="Dress"/>
    <n v="1"/>
    <n v="3165.04"/>
    <n v="3165.04"/>
  </r>
  <r>
    <x v="272"/>
    <s v="Vihaan"/>
    <x v="0"/>
    <x v="0"/>
    <s v="West"/>
    <x v="1"/>
    <s v="Ruler"/>
    <n v="14"/>
    <n v="3414.59"/>
    <n v="47804.26"/>
  </r>
  <r>
    <x v="273"/>
    <s v="Riya"/>
    <x v="9"/>
    <x v="0"/>
    <s v="West"/>
    <x v="4"/>
    <s v="Smartphone"/>
    <n v="4"/>
    <n v="3896.69"/>
    <n v="15586.76"/>
  </r>
  <r>
    <x v="274"/>
    <s v="Aditi"/>
    <x v="3"/>
    <x v="1"/>
    <s v="South"/>
    <x v="2"/>
    <s v="Jacket"/>
    <n v="5"/>
    <n v="2024.36"/>
    <n v="10121.799999999999"/>
  </r>
  <r>
    <x v="249"/>
    <s v="Ishita"/>
    <x v="8"/>
    <x v="4"/>
    <s v="North"/>
    <x v="2"/>
    <s v="Dress"/>
    <n v="17"/>
    <n v="102.62"/>
    <n v="1744.54"/>
  </r>
  <r>
    <x v="275"/>
    <s v="Aditi"/>
    <x v="10"/>
    <x v="3"/>
    <s v="West"/>
    <x v="1"/>
    <s v="Ruler"/>
    <n v="7"/>
    <n v="146.52000000000001"/>
    <n v="1025.6400000000001"/>
  </r>
  <r>
    <x v="276"/>
    <s v="Ishita"/>
    <x v="8"/>
    <x v="4"/>
    <s v="North"/>
    <x v="0"/>
    <s v="Sofa"/>
    <n v="2"/>
    <n v="4248"/>
    <n v="8496"/>
  </r>
  <r>
    <x v="37"/>
    <s v="Kabir"/>
    <x v="0"/>
    <x v="0"/>
    <s v="West"/>
    <x v="2"/>
    <s v="Dress"/>
    <n v="8"/>
    <n v="3075.58"/>
    <n v="24604.639999999999"/>
  </r>
  <r>
    <x v="275"/>
    <s v="Aarav"/>
    <x v="13"/>
    <x v="4"/>
    <s v="North"/>
    <x v="3"/>
    <s v="Lentils"/>
    <n v="13"/>
    <n v="1246.1400000000001"/>
    <n v="16199.82"/>
  </r>
  <r>
    <x v="85"/>
    <s v="Ananya"/>
    <x v="1"/>
    <x v="1"/>
    <s v="South"/>
    <x v="4"/>
    <s v="Headphones"/>
    <n v="16"/>
    <n v="3942.95"/>
    <n v="63087.199999999997"/>
  </r>
  <r>
    <x v="194"/>
    <s v="Kabir"/>
    <x v="13"/>
    <x v="4"/>
    <s v="North"/>
    <x v="1"/>
    <s v="Notebook"/>
    <n v="1"/>
    <n v="936.56"/>
    <n v="936.56"/>
  </r>
  <r>
    <x v="138"/>
    <s v="Riya"/>
    <x v="8"/>
    <x v="4"/>
    <s v="North"/>
    <x v="2"/>
    <s v="Dress"/>
    <n v="7"/>
    <n v="1628.68"/>
    <n v="11400.76"/>
  </r>
  <r>
    <x v="277"/>
    <s v="Aryan"/>
    <x v="10"/>
    <x v="3"/>
    <s v="West"/>
    <x v="1"/>
    <s v="Eraser"/>
    <n v="10"/>
    <n v="3400.28"/>
    <n v="34002.800000000003"/>
  </r>
  <r>
    <x v="2"/>
    <s v="Ishita"/>
    <x v="12"/>
    <x v="2"/>
    <s v="South"/>
    <x v="1"/>
    <s v="Pen"/>
    <n v="18"/>
    <n v="2722.99"/>
    <n v="49013.82"/>
  </r>
  <r>
    <x v="27"/>
    <s v="Nishant"/>
    <x v="2"/>
    <x v="2"/>
    <s v="South"/>
    <x v="3"/>
    <s v="Sugar"/>
    <n v="8"/>
    <n v="4612.53"/>
    <n v="36900.239999999998"/>
  </r>
  <r>
    <x v="278"/>
    <s v="Ishita"/>
    <x v="0"/>
    <x v="0"/>
    <s v="West"/>
    <x v="3"/>
    <s v="Lentils"/>
    <n v="13"/>
    <n v="2040.1"/>
    <n v="26521.3"/>
  </r>
  <r>
    <x v="10"/>
    <s v="Aarav"/>
    <x v="12"/>
    <x v="2"/>
    <s v="South"/>
    <x v="4"/>
    <s v="Tablet"/>
    <n v="17"/>
    <n v="1122.98"/>
    <n v="19090.66"/>
  </r>
  <r>
    <x v="121"/>
    <s v="Aditi"/>
    <x v="0"/>
    <x v="0"/>
    <s v="West"/>
    <x v="3"/>
    <s v="Lentils"/>
    <n v="16"/>
    <n v="2458.6"/>
    <n v="39337.599999999999"/>
  </r>
  <r>
    <x v="279"/>
    <s v="Kabir"/>
    <x v="0"/>
    <x v="0"/>
    <s v="West"/>
    <x v="0"/>
    <s v="Bed"/>
    <n v="9"/>
    <n v="3195.18"/>
    <n v="28756.62"/>
  </r>
  <r>
    <x v="109"/>
    <s v="Aditi"/>
    <x v="1"/>
    <x v="1"/>
    <s v="South"/>
    <x v="0"/>
    <s v="Sofa"/>
    <n v="3"/>
    <n v="384.96"/>
    <n v="1154.8800000000001"/>
  </r>
  <r>
    <x v="280"/>
    <s v="Riya"/>
    <x v="0"/>
    <x v="0"/>
    <s v="West"/>
    <x v="3"/>
    <s v="Rice"/>
    <n v="4"/>
    <n v="3714.59"/>
    <n v="14858.36"/>
  </r>
  <r>
    <x v="281"/>
    <s v="Kabir"/>
    <x v="2"/>
    <x v="2"/>
    <s v="South"/>
    <x v="3"/>
    <s v="Oil"/>
    <n v="9"/>
    <n v="1765.86"/>
    <n v="15892.74"/>
  </r>
  <r>
    <x v="282"/>
    <s v="Meera"/>
    <x v="7"/>
    <x v="3"/>
    <s v="West"/>
    <x v="3"/>
    <s v="Rice"/>
    <n v="8"/>
    <n v="3069.86"/>
    <n v="24558.880000000001"/>
  </r>
  <r>
    <x v="155"/>
    <s v="Aryan"/>
    <x v="11"/>
    <x v="4"/>
    <s v="North"/>
    <x v="0"/>
    <s v="Table"/>
    <n v="9"/>
    <n v="1720.47"/>
    <n v="15484.23"/>
  </r>
  <r>
    <x v="283"/>
    <s v="Ishita"/>
    <x v="6"/>
    <x v="2"/>
    <s v="South"/>
    <x v="2"/>
    <s v="Pants"/>
    <n v="7"/>
    <n v="3416.74"/>
    <n v="23917.18"/>
  </r>
  <r>
    <x v="215"/>
    <s v="Aryan"/>
    <x v="6"/>
    <x v="2"/>
    <s v="South"/>
    <x v="0"/>
    <s v="Table"/>
    <n v="7"/>
    <n v="4741.12"/>
    <n v="33187.839999999997"/>
  </r>
  <r>
    <x v="284"/>
    <s v="Ananya"/>
    <x v="11"/>
    <x v="4"/>
    <s v="North"/>
    <x v="2"/>
    <s v="Shirt"/>
    <n v="20"/>
    <n v="2721.24"/>
    <n v="54424.800000000003"/>
  </r>
  <r>
    <x v="285"/>
    <s v="Riya"/>
    <x v="7"/>
    <x v="3"/>
    <s v="West"/>
    <x v="4"/>
    <s v="Laptop"/>
    <n v="4"/>
    <n v="3751.49"/>
    <n v="15005.96"/>
  </r>
  <r>
    <x v="10"/>
    <s v="Kabir"/>
    <x v="12"/>
    <x v="2"/>
    <s v="South"/>
    <x v="2"/>
    <s v="Jacket"/>
    <n v="19"/>
    <n v="4513.6000000000004"/>
    <n v="85758.399999999994"/>
  </r>
  <r>
    <x v="30"/>
    <s v="Ananya"/>
    <x v="1"/>
    <x v="1"/>
    <s v="South"/>
    <x v="0"/>
    <s v="Chair"/>
    <n v="11"/>
    <n v="3514.12"/>
    <n v="38655.32"/>
  </r>
  <r>
    <x v="276"/>
    <s v="Aryan"/>
    <x v="6"/>
    <x v="2"/>
    <s v="South"/>
    <x v="0"/>
    <s v="Bed"/>
    <n v="13"/>
    <n v="2109.15"/>
    <n v="27418.95"/>
  </r>
  <r>
    <x v="275"/>
    <s v="Vihaan"/>
    <x v="1"/>
    <x v="1"/>
    <s v="South"/>
    <x v="2"/>
    <s v="Pants"/>
    <n v="16"/>
    <n v="4090.26"/>
    <n v="65444.160000000003"/>
  </r>
  <r>
    <x v="286"/>
    <s v="Nishant"/>
    <x v="14"/>
    <x v="3"/>
    <s v="West"/>
    <x v="2"/>
    <s v="Shirt"/>
    <n v="12"/>
    <n v="219.32"/>
    <n v="2631.84"/>
  </r>
  <r>
    <x v="24"/>
    <s v="Meera"/>
    <x v="11"/>
    <x v="4"/>
    <s v="North"/>
    <x v="1"/>
    <s v="Pen"/>
    <n v="14"/>
    <n v="264.77"/>
    <n v="3706.78"/>
  </r>
  <r>
    <x v="6"/>
    <s v="Ananya"/>
    <x v="3"/>
    <x v="1"/>
    <s v="South"/>
    <x v="2"/>
    <s v="Shirt"/>
    <n v="9"/>
    <n v="2624.88"/>
    <n v="23623.919999999998"/>
  </r>
  <r>
    <x v="166"/>
    <s v="Aarav"/>
    <x v="10"/>
    <x v="3"/>
    <s v="West"/>
    <x v="0"/>
    <s v="Sofa"/>
    <n v="15"/>
    <n v="1063.8800000000001"/>
    <n v="15958.2"/>
  </r>
  <r>
    <x v="280"/>
    <s v="Ananya"/>
    <x v="5"/>
    <x v="1"/>
    <s v="South"/>
    <x v="2"/>
    <s v="Shirt"/>
    <n v="2"/>
    <n v="4277.8999999999996"/>
    <n v="8555.7999999999993"/>
  </r>
  <r>
    <x v="287"/>
    <s v="Meera"/>
    <x v="7"/>
    <x v="3"/>
    <s v="West"/>
    <x v="2"/>
    <s v="Jacket"/>
    <n v="13"/>
    <n v="1762.69"/>
    <n v="22914.97"/>
  </r>
  <r>
    <x v="63"/>
    <s v="Ishita"/>
    <x v="6"/>
    <x v="2"/>
    <s v="South"/>
    <x v="2"/>
    <s v="Jacket"/>
    <n v="6"/>
    <n v="2069.96"/>
    <n v="12419.76"/>
  </r>
  <r>
    <x v="268"/>
    <s v="Vihaan"/>
    <x v="13"/>
    <x v="4"/>
    <s v="North"/>
    <x v="2"/>
    <s v="Shirt"/>
    <n v="19"/>
    <n v="3822.54"/>
    <n v="72628.259999999995"/>
  </r>
  <r>
    <x v="288"/>
    <s v="Vihaan"/>
    <x v="13"/>
    <x v="4"/>
    <s v="North"/>
    <x v="3"/>
    <s v="Sugar"/>
    <n v="16"/>
    <n v="242.23"/>
    <n v="3875.68"/>
  </r>
  <r>
    <x v="230"/>
    <s v="Aarav"/>
    <x v="10"/>
    <x v="3"/>
    <s v="West"/>
    <x v="1"/>
    <s v="Eraser"/>
    <n v="12"/>
    <n v="2290.7600000000002"/>
    <n v="27489.119999999999"/>
  </r>
  <r>
    <x v="261"/>
    <s v="Kabir"/>
    <x v="4"/>
    <x v="0"/>
    <s v="West"/>
    <x v="2"/>
    <s v="Shirt"/>
    <n v="18"/>
    <n v="1957.78"/>
    <n v="35240.04"/>
  </r>
  <r>
    <x v="289"/>
    <s v="Aryan"/>
    <x v="4"/>
    <x v="0"/>
    <s v="West"/>
    <x v="1"/>
    <s v="Notebook"/>
    <n v="1"/>
    <n v="4370.57"/>
    <n v="4370.57"/>
  </r>
  <r>
    <x v="278"/>
    <s v="Ishita"/>
    <x v="13"/>
    <x v="4"/>
    <s v="North"/>
    <x v="3"/>
    <s v="Rice"/>
    <n v="3"/>
    <n v="1894.71"/>
    <n v="5684.13"/>
  </r>
  <r>
    <x v="185"/>
    <s v="Nishant"/>
    <x v="10"/>
    <x v="3"/>
    <s v="West"/>
    <x v="3"/>
    <s v="Oil"/>
    <n v="14"/>
    <n v="367.1"/>
    <n v="5139.3999999999996"/>
  </r>
  <r>
    <x v="285"/>
    <s v="Aditi"/>
    <x v="14"/>
    <x v="3"/>
    <s v="West"/>
    <x v="4"/>
    <s v="Headphones"/>
    <n v="10"/>
    <n v="4678.49"/>
    <n v="46784.9"/>
  </r>
  <r>
    <x v="181"/>
    <s v="Vihaan"/>
    <x v="11"/>
    <x v="4"/>
    <s v="North"/>
    <x v="3"/>
    <s v="Sugar"/>
    <n v="12"/>
    <n v="1020.42"/>
    <n v="12245.04"/>
  </r>
  <r>
    <x v="278"/>
    <s v="Ishita"/>
    <x v="2"/>
    <x v="2"/>
    <s v="South"/>
    <x v="4"/>
    <s v="Laptop"/>
    <n v="15"/>
    <n v="1669.04"/>
    <n v="25035.599999999999"/>
  </r>
  <r>
    <x v="215"/>
    <s v="Ananya"/>
    <x v="9"/>
    <x v="0"/>
    <s v="West"/>
    <x v="1"/>
    <s v="Notebook"/>
    <n v="18"/>
    <n v="138.01"/>
    <n v="2484.1799999999998"/>
  </r>
  <r>
    <x v="277"/>
    <s v="Ananya"/>
    <x v="7"/>
    <x v="3"/>
    <s v="West"/>
    <x v="1"/>
    <s v="Ruler"/>
    <n v="6"/>
    <n v="3847.76"/>
    <n v="23086.560000000001"/>
  </r>
  <r>
    <x v="237"/>
    <s v="Aryan"/>
    <x v="4"/>
    <x v="0"/>
    <s v="West"/>
    <x v="3"/>
    <s v="Lentils"/>
    <n v="4"/>
    <n v="3246.52"/>
    <n v="12986.08"/>
  </r>
  <r>
    <x v="101"/>
    <s v="Kabir"/>
    <x v="13"/>
    <x v="4"/>
    <s v="North"/>
    <x v="1"/>
    <s v="Pen"/>
    <n v="14"/>
    <n v="569.91"/>
    <n v="7978.74"/>
  </r>
  <r>
    <x v="11"/>
    <s v="Riya"/>
    <x v="5"/>
    <x v="1"/>
    <s v="South"/>
    <x v="4"/>
    <s v="Laptop"/>
    <n v="15"/>
    <n v="4316.17"/>
    <n v="64742.55"/>
  </r>
  <r>
    <x v="219"/>
    <s v="Vihaan"/>
    <x v="5"/>
    <x v="1"/>
    <s v="South"/>
    <x v="2"/>
    <s v="Dress"/>
    <n v="17"/>
    <n v="2209.62"/>
    <n v="37563.54"/>
  </r>
  <r>
    <x v="272"/>
    <s v="Riya"/>
    <x v="8"/>
    <x v="4"/>
    <s v="North"/>
    <x v="0"/>
    <s v="Sofa"/>
    <n v="16"/>
    <n v="3296.61"/>
    <n v="52745.760000000002"/>
  </r>
  <r>
    <x v="290"/>
    <s v="Meera"/>
    <x v="13"/>
    <x v="4"/>
    <s v="North"/>
    <x v="0"/>
    <s v="Table"/>
    <n v="13"/>
    <n v="523.83000000000004"/>
    <n v="6809.79"/>
  </r>
  <r>
    <x v="188"/>
    <s v="Ishita"/>
    <x v="2"/>
    <x v="2"/>
    <s v="South"/>
    <x v="4"/>
    <s v="Laptop"/>
    <n v="3"/>
    <n v="916.53"/>
    <n v="2749.59"/>
  </r>
  <r>
    <x v="146"/>
    <s v="Meera"/>
    <x v="9"/>
    <x v="0"/>
    <s v="West"/>
    <x v="2"/>
    <s v="Shirt"/>
    <n v="13"/>
    <n v="1836.55"/>
    <n v="23875.15"/>
  </r>
  <r>
    <x v="218"/>
    <s v="Aditi"/>
    <x v="11"/>
    <x v="4"/>
    <s v="North"/>
    <x v="2"/>
    <s v="Dress"/>
    <n v="19"/>
    <n v="2253.92"/>
    <n v="42824.480000000003"/>
  </r>
  <r>
    <x v="291"/>
    <s v="Aditi"/>
    <x v="9"/>
    <x v="0"/>
    <s v="West"/>
    <x v="0"/>
    <s v="Table"/>
    <n v="13"/>
    <n v="3617.07"/>
    <n v="47021.91"/>
  </r>
  <r>
    <x v="292"/>
    <s v="Aryan"/>
    <x v="6"/>
    <x v="2"/>
    <s v="South"/>
    <x v="3"/>
    <s v="Oil"/>
    <n v="5"/>
    <n v="417.76"/>
    <n v="2088.8000000000002"/>
  </r>
  <r>
    <x v="293"/>
    <s v="Vihaan"/>
    <x v="0"/>
    <x v="0"/>
    <s v="West"/>
    <x v="4"/>
    <s v="Headphones"/>
    <n v="11"/>
    <n v="864.29"/>
    <n v="9507.19"/>
  </r>
  <r>
    <x v="294"/>
    <s v="Ishita"/>
    <x v="8"/>
    <x v="4"/>
    <s v="North"/>
    <x v="4"/>
    <s v="Headphones"/>
    <n v="19"/>
    <n v="2006.79"/>
    <n v="38129.01"/>
  </r>
  <r>
    <x v="112"/>
    <s v="Vihaan"/>
    <x v="7"/>
    <x v="3"/>
    <s v="West"/>
    <x v="3"/>
    <s v="Sugar"/>
    <n v="1"/>
    <n v="403.2"/>
    <n v="403.2"/>
  </r>
  <r>
    <x v="8"/>
    <s v="Ananya"/>
    <x v="9"/>
    <x v="0"/>
    <s v="West"/>
    <x v="0"/>
    <s v="Chair"/>
    <n v="7"/>
    <n v="2846.83"/>
    <n v="19927.810000000001"/>
  </r>
  <r>
    <x v="125"/>
    <s v="Meera"/>
    <x v="5"/>
    <x v="1"/>
    <s v="South"/>
    <x v="2"/>
    <s v="Dress"/>
    <n v="5"/>
    <n v="850.9"/>
    <n v="4254.5"/>
  </r>
  <r>
    <x v="248"/>
    <s v="Aarav"/>
    <x v="8"/>
    <x v="4"/>
    <s v="North"/>
    <x v="4"/>
    <s v="Smartphone"/>
    <n v="16"/>
    <n v="3337.15"/>
    <n v="53394.400000000001"/>
  </r>
  <r>
    <x v="295"/>
    <s v="Aarav"/>
    <x v="2"/>
    <x v="2"/>
    <s v="South"/>
    <x v="2"/>
    <s v="Pants"/>
    <n v="15"/>
    <n v="1299.55"/>
    <n v="19493.25"/>
  </r>
  <r>
    <x v="63"/>
    <s v="Aarav"/>
    <x v="2"/>
    <x v="2"/>
    <s v="South"/>
    <x v="3"/>
    <s v="Sugar"/>
    <n v="7"/>
    <n v="4898.57"/>
    <n v="34289.99"/>
  </r>
  <r>
    <x v="70"/>
    <s v="Meera"/>
    <x v="1"/>
    <x v="1"/>
    <s v="South"/>
    <x v="2"/>
    <s v="Jacket"/>
    <n v="11"/>
    <n v="2471.65"/>
    <n v="27188.15"/>
  </r>
  <r>
    <x v="48"/>
    <s v="Aarav"/>
    <x v="3"/>
    <x v="1"/>
    <s v="South"/>
    <x v="1"/>
    <s v="Eraser"/>
    <n v="2"/>
    <n v="1125.53"/>
    <n v="2251.06"/>
  </r>
  <r>
    <x v="85"/>
    <s v="Nishant"/>
    <x v="7"/>
    <x v="3"/>
    <s v="West"/>
    <x v="0"/>
    <s v="Table"/>
    <n v="13"/>
    <n v="2835.8"/>
    <n v="36865.4"/>
  </r>
  <r>
    <x v="296"/>
    <s v="Riya"/>
    <x v="2"/>
    <x v="2"/>
    <s v="South"/>
    <x v="3"/>
    <s v="Sugar"/>
    <n v="17"/>
    <n v="3973.87"/>
    <n v="67555.789999999994"/>
  </r>
  <r>
    <x v="11"/>
    <s v="Nishant"/>
    <x v="9"/>
    <x v="0"/>
    <s v="West"/>
    <x v="4"/>
    <s v="Tablet"/>
    <n v="4"/>
    <n v="1998.26"/>
    <n v="7993.04"/>
  </r>
  <r>
    <x v="233"/>
    <s v="Ishita"/>
    <x v="6"/>
    <x v="2"/>
    <s v="South"/>
    <x v="1"/>
    <s v="Eraser"/>
    <n v="7"/>
    <n v="3820.3"/>
    <n v="26742.1"/>
  </r>
  <r>
    <x v="226"/>
    <s v="Meera"/>
    <x v="10"/>
    <x v="3"/>
    <s v="West"/>
    <x v="1"/>
    <s v="Notebook"/>
    <n v="19"/>
    <n v="2199.3200000000002"/>
    <n v="41787.08"/>
  </r>
  <r>
    <x v="257"/>
    <s v="Aditi"/>
    <x v="1"/>
    <x v="1"/>
    <s v="South"/>
    <x v="3"/>
    <s v="Lentils"/>
    <n v="6"/>
    <n v="578.64"/>
    <n v="3471.84"/>
  </r>
  <r>
    <x v="209"/>
    <s v="Ishita"/>
    <x v="5"/>
    <x v="1"/>
    <s v="South"/>
    <x v="4"/>
    <s v="Laptop"/>
    <n v="5"/>
    <n v="1488.21"/>
    <n v="7441.05"/>
  </r>
  <r>
    <x v="297"/>
    <s v="Aryan"/>
    <x v="1"/>
    <x v="1"/>
    <s v="South"/>
    <x v="0"/>
    <s v="Chair"/>
    <n v="19"/>
    <n v="3196.27"/>
    <n v="60729.13"/>
  </r>
  <r>
    <x v="284"/>
    <s v="Nishant"/>
    <x v="14"/>
    <x v="3"/>
    <s v="West"/>
    <x v="3"/>
    <s v="Lentils"/>
    <n v="5"/>
    <n v="1018.53"/>
    <n v="5092.6499999999996"/>
  </r>
  <r>
    <x v="246"/>
    <s v="Riya"/>
    <x v="8"/>
    <x v="4"/>
    <s v="North"/>
    <x v="1"/>
    <s v="Pen"/>
    <n v="13"/>
    <n v="1367.15"/>
    <n v="17772.95"/>
  </r>
  <r>
    <x v="272"/>
    <s v="Nishant"/>
    <x v="5"/>
    <x v="1"/>
    <s v="South"/>
    <x v="4"/>
    <s v="Tablet"/>
    <n v="19"/>
    <n v="4996.28"/>
    <n v="94929.32"/>
  </r>
  <r>
    <x v="119"/>
    <s v="Kabir"/>
    <x v="4"/>
    <x v="0"/>
    <s v="West"/>
    <x v="2"/>
    <s v="Shirt"/>
    <n v="3"/>
    <n v="4447.8999999999996"/>
    <n v="13343.7"/>
  </r>
  <r>
    <x v="189"/>
    <s v="Riya"/>
    <x v="9"/>
    <x v="0"/>
    <s v="West"/>
    <x v="1"/>
    <s v="Ruler"/>
    <n v="10"/>
    <n v="1318.51"/>
    <n v="13185.1"/>
  </r>
  <r>
    <x v="18"/>
    <s v="Meera"/>
    <x v="1"/>
    <x v="1"/>
    <s v="South"/>
    <x v="3"/>
    <s v="Oil"/>
    <n v="20"/>
    <n v="1731.99"/>
    <n v="34639.800000000003"/>
  </r>
  <r>
    <x v="80"/>
    <s v="Riya"/>
    <x v="0"/>
    <x v="0"/>
    <s v="West"/>
    <x v="2"/>
    <s v="Dress"/>
    <n v="12"/>
    <n v="4514.3900000000003"/>
    <n v="54172.68"/>
  </r>
  <r>
    <x v="288"/>
    <s v="Kabir"/>
    <x v="2"/>
    <x v="2"/>
    <s v="South"/>
    <x v="0"/>
    <s v="Sofa"/>
    <n v="20"/>
    <n v="1710.93"/>
    <n v="34218.6"/>
  </r>
  <r>
    <x v="32"/>
    <s v="Vihaan"/>
    <x v="12"/>
    <x v="2"/>
    <s v="South"/>
    <x v="1"/>
    <s v="Eraser"/>
    <n v="19"/>
    <n v="491.53"/>
    <n v="9339.07"/>
  </r>
  <r>
    <x v="148"/>
    <s v="Kabir"/>
    <x v="2"/>
    <x v="2"/>
    <s v="South"/>
    <x v="3"/>
    <s v="Lentils"/>
    <n v="6"/>
    <n v="203.88"/>
    <n v="1223.28"/>
  </r>
  <r>
    <x v="120"/>
    <s v="Vihaan"/>
    <x v="4"/>
    <x v="0"/>
    <s v="West"/>
    <x v="1"/>
    <s v="Ruler"/>
    <n v="19"/>
    <n v="4786.8900000000003"/>
    <n v="90950.91"/>
  </r>
  <r>
    <x v="122"/>
    <s v="Kabir"/>
    <x v="6"/>
    <x v="2"/>
    <s v="South"/>
    <x v="2"/>
    <s v="Shirt"/>
    <n v="11"/>
    <n v="2666.77"/>
    <n v="29334.47"/>
  </r>
  <r>
    <x v="181"/>
    <s v="Aditi"/>
    <x v="0"/>
    <x v="0"/>
    <s v="West"/>
    <x v="4"/>
    <s v="Headphones"/>
    <n v="19"/>
    <n v="2174.7600000000002"/>
    <n v="41320.44"/>
  </r>
  <r>
    <x v="71"/>
    <s v="Aditi"/>
    <x v="14"/>
    <x v="3"/>
    <s v="West"/>
    <x v="1"/>
    <s v="Notebook"/>
    <n v="1"/>
    <n v="1678.18"/>
    <n v="1678.18"/>
  </r>
  <r>
    <x v="47"/>
    <s v="Aarav"/>
    <x v="0"/>
    <x v="0"/>
    <s v="West"/>
    <x v="4"/>
    <s v="Smartphone"/>
    <n v="20"/>
    <n v="2163.9499999999998"/>
    <n v="43279"/>
  </r>
  <r>
    <x v="298"/>
    <s v="Aditi"/>
    <x v="0"/>
    <x v="0"/>
    <s v="West"/>
    <x v="0"/>
    <s v="Table"/>
    <n v="18"/>
    <n v="3511.28"/>
    <n v="63203.040000000001"/>
  </r>
  <r>
    <x v="299"/>
    <s v="Vihaan"/>
    <x v="6"/>
    <x v="2"/>
    <s v="South"/>
    <x v="1"/>
    <s v="Pen"/>
    <n v="13"/>
    <n v="2979.65"/>
    <n v="38735.449999999997"/>
  </r>
  <r>
    <x v="67"/>
    <s v="Ananya"/>
    <x v="0"/>
    <x v="0"/>
    <s v="West"/>
    <x v="2"/>
    <s v="Pants"/>
    <n v="4"/>
    <n v="2985.48"/>
    <n v="11941.92"/>
  </r>
  <r>
    <x v="54"/>
    <s v="Ishita"/>
    <x v="6"/>
    <x v="2"/>
    <s v="South"/>
    <x v="1"/>
    <s v="Eraser"/>
    <n v="18"/>
    <n v="3989.44"/>
    <n v="71809.919999999998"/>
  </r>
  <r>
    <x v="261"/>
    <s v="Ishita"/>
    <x v="7"/>
    <x v="3"/>
    <s v="West"/>
    <x v="4"/>
    <s v="Tablet"/>
    <n v="14"/>
    <n v="2251.87"/>
    <n v="31526.18"/>
  </r>
  <r>
    <x v="300"/>
    <s v="Kabir"/>
    <x v="10"/>
    <x v="3"/>
    <s v="West"/>
    <x v="3"/>
    <s v="Oil"/>
    <n v="8"/>
    <n v="2519.3000000000002"/>
    <n v="20154.400000000001"/>
  </r>
  <r>
    <x v="260"/>
    <s v="Nishant"/>
    <x v="6"/>
    <x v="2"/>
    <s v="South"/>
    <x v="2"/>
    <s v="Dress"/>
    <n v="3"/>
    <n v="1129.8800000000001"/>
    <n v="3389.64"/>
  </r>
  <r>
    <x v="288"/>
    <s v="Meera"/>
    <x v="7"/>
    <x v="3"/>
    <s v="West"/>
    <x v="0"/>
    <s v="Sofa"/>
    <n v="15"/>
    <n v="4146.03"/>
    <n v="62190.45"/>
  </r>
  <r>
    <x v="216"/>
    <s v="Ananya"/>
    <x v="0"/>
    <x v="0"/>
    <s v="West"/>
    <x v="0"/>
    <s v="Bed"/>
    <n v="4"/>
    <n v="3564.22"/>
    <n v="14256.88"/>
  </r>
  <r>
    <x v="266"/>
    <s v="Ananya"/>
    <x v="1"/>
    <x v="1"/>
    <s v="South"/>
    <x v="0"/>
    <s v="Sofa"/>
    <n v="14"/>
    <n v="414.51"/>
    <n v="5803.14"/>
  </r>
  <r>
    <x v="149"/>
    <s v="Kabir"/>
    <x v="7"/>
    <x v="3"/>
    <s v="West"/>
    <x v="0"/>
    <s v="Bed"/>
    <n v="11"/>
    <n v="1788.39"/>
    <n v="19672.29"/>
  </r>
  <r>
    <x v="14"/>
    <s v="Aarav"/>
    <x v="12"/>
    <x v="2"/>
    <s v="South"/>
    <x v="2"/>
    <s v="Jacket"/>
    <n v="6"/>
    <n v="2867.98"/>
    <n v="17207.88"/>
  </r>
  <r>
    <x v="260"/>
    <s v="Aditi"/>
    <x v="0"/>
    <x v="0"/>
    <s v="West"/>
    <x v="2"/>
    <s v="Dress"/>
    <n v="6"/>
    <n v="3566.53"/>
    <n v="21399.18"/>
  </r>
  <r>
    <x v="139"/>
    <s v="Aryan"/>
    <x v="10"/>
    <x v="3"/>
    <s v="West"/>
    <x v="1"/>
    <s v="Eraser"/>
    <n v="13"/>
    <n v="2669.5"/>
    <n v="34703.5"/>
  </r>
  <r>
    <x v="301"/>
    <s v="Riya"/>
    <x v="5"/>
    <x v="1"/>
    <s v="South"/>
    <x v="3"/>
    <s v="Oil"/>
    <n v="6"/>
    <n v="3842.46"/>
    <n v="23054.76"/>
  </r>
  <r>
    <x v="93"/>
    <s v="Ishita"/>
    <x v="9"/>
    <x v="0"/>
    <s v="West"/>
    <x v="0"/>
    <s v="Table"/>
    <n v="13"/>
    <n v="1419.3"/>
    <n v="18450.900000000001"/>
  </r>
  <r>
    <x v="196"/>
    <s v="Aditi"/>
    <x v="8"/>
    <x v="4"/>
    <s v="North"/>
    <x v="4"/>
    <s v="Headphones"/>
    <n v="1"/>
    <n v="3187.31"/>
    <n v="3187.31"/>
  </r>
  <r>
    <x v="206"/>
    <s v="Meera"/>
    <x v="2"/>
    <x v="2"/>
    <s v="South"/>
    <x v="3"/>
    <s v="Oil"/>
    <n v="12"/>
    <n v="1837.2"/>
    <n v="22046.400000000001"/>
  </r>
  <r>
    <x v="162"/>
    <s v="Aditi"/>
    <x v="7"/>
    <x v="3"/>
    <s v="West"/>
    <x v="4"/>
    <s v="Tablet"/>
    <n v="2"/>
    <n v="4081.92"/>
    <n v="8163.84"/>
  </r>
  <r>
    <x v="302"/>
    <s v="Vihaan"/>
    <x v="7"/>
    <x v="3"/>
    <s v="West"/>
    <x v="3"/>
    <s v="Lentils"/>
    <n v="20"/>
    <n v="3184.86"/>
    <n v="63697.2"/>
  </r>
  <r>
    <x v="292"/>
    <s v="Ishita"/>
    <x v="1"/>
    <x v="1"/>
    <s v="South"/>
    <x v="0"/>
    <s v="Sofa"/>
    <n v="8"/>
    <n v="3402.24"/>
    <n v="27217.919999999998"/>
  </r>
  <r>
    <x v="85"/>
    <s v="Ishita"/>
    <x v="4"/>
    <x v="0"/>
    <s v="West"/>
    <x v="0"/>
    <s v="Sofa"/>
    <n v="10"/>
    <n v="2750.69"/>
    <n v="27506.9"/>
  </r>
  <r>
    <x v="194"/>
    <s v="Kabir"/>
    <x v="9"/>
    <x v="0"/>
    <s v="West"/>
    <x v="4"/>
    <s v="Headphones"/>
    <n v="13"/>
    <n v="4090.9"/>
    <n v="53181.7"/>
  </r>
  <r>
    <x v="159"/>
    <s v="Ananya"/>
    <x v="2"/>
    <x v="2"/>
    <s v="South"/>
    <x v="3"/>
    <s v="Sugar"/>
    <n v="3"/>
    <n v="4234"/>
    <n v="12702"/>
  </r>
  <r>
    <x v="131"/>
    <s v="Kabir"/>
    <x v="3"/>
    <x v="1"/>
    <s v="South"/>
    <x v="4"/>
    <s v="Smartphone"/>
    <n v="12"/>
    <n v="1701.3"/>
    <n v="20415.599999999999"/>
  </r>
  <r>
    <x v="303"/>
    <s v="Aryan"/>
    <x v="5"/>
    <x v="1"/>
    <s v="South"/>
    <x v="4"/>
    <s v="Tablet"/>
    <n v="18"/>
    <n v="1599.01"/>
    <n v="28782.18"/>
  </r>
  <r>
    <x v="127"/>
    <s v="Aryan"/>
    <x v="12"/>
    <x v="2"/>
    <s v="South"/>
    <x v="4"/>
    <s v="Headphones"/>
    <n v="11"/>
    <n v="4564.7299999999996"/>
    <n v="50212.03"/>
  </r>
  <r>
    <x v="84"/>
    <s v="Meera"/>
    <x v="7"/>
    <x v="3"/>
    <s v="West"/>
    <x v="0"/>
    <s v="Bed"/>
    <n v="14"/>
    <n v="3507.75"/>
    <n v="49108.5"/>
  </r>
  <r>
    <x v="120"/>
    <s v="Riya"/>
    <x v="13"/>
    <x v="4"/>
    <s v="North"/>
    <x v="1"/>
    <s v="Eraser"/>
    <n v="4"/>
    <n v="810.38"/>
    <n v="3241.52"/>
  </r>
  <r>
    <x v="29"/>
    <s v="Meera"/>
    <x v="9"/>
    <x v="0"/>
    <s v="West"/>
    <x v="4"/>
    <s v="Smartphone"/>
    <n v="7"/>
    <n v="698.8"/>
    <n v="4891.6000000000004"/>
  </r>
  <r>
    <x v="170"/>
    <s v="Ananya"/>
    <x v="1"/>
    <x v="1"/>
    <s v="South"/>
    <x v="4"/>
    <s v="Tablet"/>
    <n v="14"/>
    <n v="2833.44"/>
    <n v="39668.160000000003"/>
  </r>
  <r>
    <x v="129"/>
    <s v="Aditi"/>
    <x v="2"/>
    <x v="2"/>
    <s v="South"/>
    <x v="3"/>
    <s v="Sugar"/>
    <n v="20"/>
    <n v="2409.6799999999998"/>
    <n v="48193.599999999999"/>
  </r>
  <r>
    <x v="110"/>
    <s v="Ananya"/>
    <x v="5"/>
    <x v="1"/>
    <s v="South"/>
    <x v="3"/>
    <s v="Oil"/>
    <n v="17"/>
    <n v="2448.5100000000002"/>
    <n v="41624.67"/>
  </r>
  <r>
    <x v="249"/>
    <s v="Kabir"/>
    <x v="5"/>
    <x v="1"/>
    <s v="South"/>
    <x v="2"/>
    <s v="Pants"/>
    <n v="7"/>
    <n v="4029.58"/>
    <n v="28207.06"/>
  </r>
  <r>
    <x v="270"/>
    <s v="Aditi"/>
    <x v="3"/>
    <x v="1"/>
    <s v="South"/>
    <x v="3"/>
    <s v="Rice"/>
    <n v="15"/>
    <n v="3999.29"/>
    <n v="59989.35"/>
  </r>
  <r>
    <x v="186"/>
    <s v="Aarav"/>
    <x v="6"/>
    <x v="2"/>
    <s v="South"/>
    <x v="1"/>
    <s v="Pen"/>
    <n v="17"/>
    <n v="583.88"/>
    <n v="9925.9599999999991"/>
  </r>
  <r>
    <x v="304"/>
    <s v="Kabir"/>
    <x v="10"/>
    <x v="3"/>
    <s v="West"/>
    <x v="2"/>
    <s v="Shirt"/>
    <n v="7"/>
    <n v="1319.32"/>
    <n v="9235.24"/>
  </r>
  <r>
    <x v="168"/>
    <s v="Ishita"/>
    <x v="0"/>
    <x v="0"/>
    <s v="West"/>
    <x v="0"/>
    <s v="Chair"/>
    <n v="15"/>
    <n v="2698.6"/>
    <n v="40479"/>
  </r>
  <r>
    <x v="75"/>
    <s v="Nishant"/>
    <x v="2"/>
    <x v="2"/>
    <s v="South"/>
    <x v="1"/>
    <s v="Pen"/>
    <n v="19"/>
    <n v="4364.6400000000003"/>
    <n v="82928.160000000003"/>
  </r>
  <r>
    <x v="218"/>
    <s v="Aryan"/>
    <x v="3"/>
    <x v="1"/>
    <s v="South"/>
    <x v="0"/>
    <s v="Bed"/>
    <n v="8"/>
    <n v="4740.97"/>
    <n v="37927.760000000002"/>
  </r>
  <r>
    <x v="112"/>
    <s v="Ishita"/>
    <x v="6"/>
    <x v="2"/>
    <s v="South"/>
    <x v="1"/>
    <s v="Pen"/>
    <n v="4"/>
    <n v="917.97"/>
    <n v="3671.88"/>
  </r>
  <r>
    <x v="89"/>
    <s v="Ishita"/>
    <x v="10"/>
    <x v="3"/>
    <s v="West"/>
    <x v="2"/>
    <s v="Pants"/>
    <n v="10"/>
    <n v="224.53"/>
    <n v="2245.3000000000002"/>
  </r>
  <r>
    <x v="305"/>
    <s v="Vihaan"/>
    <x v="13"/>
    <x v="4"/>
    <s v="North"/>
    <x v="1"/>
    <s v="Pen"/>
    <n v="1"/>
    <n v="3246.08"/>
    <n v="3246.08"/>
  </r>
  <r>
    <x v="115"/>
    <s v="Nishant"/>
    <x v="0"/>
    <x v="0"/>
    <s v="West"/>
    <x v="0"/>
    <s v="Chair"/>
    <n v="16"/>
    <n v="1411.33"/>
    <n v="22581.279999999999"/>
  </r>
  <r>
    <x v="135"/>
    <s v="Meera"/>
    <x v="5"/>
    <x v="1"/>
    <s v="South"/>
    <x v="2"/>
    <s v="Jacket"/>
    <n v="19"/>
    <n v="2174.06"/>
    <n v="41307.14"/>
  </r>
  <r>
    <x v="203"/>
    <s v="Meera"/>
    <x v="3"/>
    <x v="1"/>
    <s v="South"/>
    <x v="3"/>
    <s v="Rice"/>
    <n v="2"/>
    <n v="1194.4000000000001"/>
    <n v="2388.8000000000002"/>
  </r>
  <r>
    <x v="295"/>
    <s v="Ananya"/>
    <x v="10"/>
    <x v="3"/>
    <s v="West"/>
    <x v="2"/>
    <s v="Pants"/>
    <n v="2"/>
    <n v="3726.58"/>
    <n v="7453.16"/>
  </r>
  <r>
    <x v="293"/>
    <s v="Aarav"/>
    <x v="5"/>
    <x v="1"/>
    <s v="South"/>
    <x v="0"/>
    <s v="Sofa"/>
    <n v="5"/>
    <n v="1599.65"/>
    <n v="7998.25"/>
  </r>
  <r>
    <x v="14"/>
    <s v="Aryan"/>
    <x v="11"/>
    <x v="4"/>
    <s v="North"/>
    <x v="0"/>
    <s v="Table"/>
    <n v="16"/>
    <n v="1628.19"/>
    <n v="26051.040000000001"/>
  </r>
  <r>
    <x v="193"/>
    <s v="Aryan"/>
    <x v="2"/>
    <x v="2"/>
    <s v="South"/>
    <x v="2"/>
    <s v="Shirt"/>
    <n v="17"/>
    <n v="3381.75"/>
    <n v="57489.75"/>
  </r>
  <r>
    <x v="69"/>
    <s v="Vihaan"/>
    <x v="6"/>
    <x v="2"/>
    <s v="South"/>
    <x v="1"/>
    <s v="Ruler"/>
    <n v="18"/>
    <n v="3627.09"/>
    <n v="65287.62"/>
  </r>
  <r>
    <x v="97"/>
    <s v="Meera"/>
    <x v="10"/>
    <x v="3"/>
    <s v="West"/>
    <x v="3"/>
    <s v="Lentils"/>
    <n v="2"/>
    <n v="3106.64"/>
    <n v="6213.28"/>
  </r>
  <r>
    <x v="55"/>
    <s v="Meera"/>
    <x v="9"/>
    <x v="0"/>
    <s v="West"/>
    <x v="4"/>
    <s v="Laptop"/>
    <n v="15"/>
    <n v="4310.01"/>
    <n v="64650.15"/>
  </r>
  <r>
    <x v="133"/>
    <s v="Riya"/>
    <x v="14"/>
    <x v="3"/>
    <s v="West"/>
    <x v="0"/>
    <s v="Table"/>
    <n v="14"/>
    <n v="3352.19"/>
    <n v="46930.66"/>
  </r>
  <r>
    <x v="240"/>
    <s v="Aditi"/>
    <x v="11"/>
    <x v="4"/>
    <s v="North"/>
    <x v="4"/>
    <s v="Smartphone"/>
    <n v="18"/>
    <n v="214.47"/>
    <n v="3860.46"/>
  </r>
  <r>
    <x v="129"/>
    <s v="Meera"/>
    <x v="12"/>
    <x v="2"/>
    <s v="South"/>
    <x v="3"/>
    <s v="Lentils"/>
    <n v="3"/>
    <n v="1810.87"/>
    <n v="5432.61"/>
  </r>
  <r>
    <x v="101"/>
    <s v="Ananya"/>
    <x v="8"/>
    <x v="4"/>
    <s v="North"/>
    <x v="0"/>
    <s v="Sofa"/>
    <n v="3"/>
    <n v="1105.46"/>
    <n v="3316.38"/>
  </r>
  <r>
    <x v="302"/>
    <s v="Kabir"/>
    <x v="4"/>
    <x v="0"/>
    <s v="West"/>
    <x v="3"/>
    <s v="Rice"/>
    <n v="10"/>
    <n v="3707.43"/>
    <n v="37074.300000000003"/>
  </r>
  <r>
    <x v="156"/>
    <s v="Aryan"/>
    <x v="3"/>
    <x v="1"/>
    <s v="South"/>
    <x v="4"/>
    <s v="Smartphone"/>
    <n v="18"/>
    <n v="584.4"/>
    <n v="10519.2"/>
  </r>
  <r>
    <x v="275"/>
    <s v="Vihaan"/>
    <x v="12"/>
    <x v="2"/>
    <s v="South"/>
    <x v="0"/>
    <s v="Sofa"/>
    <n v="1"/>
    <n v="2498.7399999999998"/>
    <n v="2498.7399999999998"/>
  </r>
  <r>
    <x v="306"/>
    <s v="Ishita"/>
    <x v="2"/>
    <x v="2"/>
    <s v="South"/>
    <x v="4"/>
    <s v="Smartphone"/>
    <n v="17"/>
    <n v="2460.73"/>
    <n v="41832.410000000003"/>
  </r>
  <r>
    <x v="11"/>
    <s v="Ananya"/>
    <x v="0"/>
    <x v="0"/>
    <s v="West"/>
    <x v="0"/>
    <s v="Table"/>
    <n v="13"/>
    <n v="4630.9799999999996"/>
    <n v="60202.74"/>
  </r>
  <r>
    <x v="174"/>
    <s v="Aditi"/>
    <x v="2"/>
    <x v="2"/>
    <s v="South"/>
    <x v="4"/>
    <s v="Tablet"/>
    <n v="3"/>
    <n v="4324.88"/>
    <n v="12974.64"/>
  </r>
  <r>
    <x v="242"/>
    <s v="Meera"/>
    <x v="8"/>
    <x v="4"/>
    <s v="North"/>
    <x v="4"/>
    <s v="Tablet"/>
    <n v="20"/>
    <n v="4049.4"/>
    <n v="80988"/>
  </r>
  <r>
    <x v="233"/>
    <s v="Vihaan"/>
    <x v="14"/>
    <x v="3"/>
    <s v="West"/>
    <x v="3"/>
    <s v="Oil"/>
    <n v="16"/>
    <n v="2347.21"/>
    <n v="37555.360000000001"/>
  </r>
  <r>
    <x v="52"/>
    <s v="Vihaan"/>
    <x v="9"/>
    <x v="0"/>
    <s v="West"/>
    <x v="2"/>
    <s v="Jacket"/>
    <n v="2"/>
    <n v="3743.52"/>
    <n v="7487.04"/>
  </r>
  <r>
    <x v="79"/>
    <s v="Nishant"/>
    <x v="6"/>
    <x v="2"/>
    <s v="South"/>
    <x v="3"/>
    <s v="Sugar"/>
    <n v="8"/>
    <n v="303.48"/>
    <n v="2427.84"/>
  </r>
  <r>
    <x v="270"/>
    <s v="Aryan"/>
    <x v="1"/>
    <x v="1"/>
    <s v="South"/>
    <x v="0"/>
    <s v="Bed"/>
    <n v="7"/>
    <n v="1373.41"/>
    <n v="9613.8700000000008"/>
  </r>
  <r>
    <x v="307"/>
    <s v="Aryan"/>
    <x v="11"/>
    <x v="4"/>
    <s v="North"/>
    <x v="4"/>
    <s v="Smartphone"/>
    <n v="10"/>
    <n v="3048.2"/>
    <n v="30482"/>
  </r>
  <r>
    <x v="308"/>
    <s v="Ananya"/>
    <x v="7"/>
    <x v="3"/>
    <s v="West"/>
    <x v="0"/>
    <s v="Bed"/>
    <n v="20"/>
    <n v="2818.78"/>
    <n v="56375.6"/>
  </r>
  <r>
    <x v="121"/>
    <s v="Vihaan"/>
    <x v="9"/>
    <x v="0"/>
    <s v="West"/>
    <x v="2"/>
    <s v="Jacket"/>
    <n v="1"/>
    <n v="4647.3"/>
    <n v="4647.3"/>
  </r>
  <r>
    <x v="70"/>
    <s v="Nishant"/>
    <x v="10"/>
    <x v="3"/>
    <s v="West"/>
    <x v="2"/>
    <s v="Dress"/>
    <n v="20"/>
    <n v="2302.4699999999998"/>
    <n v="46049.4"/>
  </r>
  <r>
    <x v="120"/>
    <s v="Kabir"/>
    <x v="11"/>
    <x v="4"/>
    <s v="North"/>
    <x v="0"/>
    <s v="Bed"/>
    <n v="17"/>
    <n v="2805.45"/>
    <n v="47692.65"/>
  </r>
  <r>
    <x v="309"/>
    <s v="Kabir"/>
    <x v="1"/>
    <x v="1"/>
    <s v="South"/>
    <x v="4"/>
    <s v="Laptop"/>
    <n v="3"/>
    <n v="413.26"/>
    <n v="1239.78"/>
  </r>
  <r>
    <x v="294"/>
    <s v="Ishita"/>
    <x v="10"/>
    <x v="3"/>
    <s v="West"/>
    <x v="2"/>
    <s v="Pants"/>
    <n v="17"/>
    <n v="3203.04"/>
    <n v="54451.68"/>
  </r>
  <r>
    <x v="309"/>
    <s v="Aarav"/>
    <x v="7"/>
    <x v="3"/>
    <s v="West"/>
    <x v="2"/>
    <s v="Dress"/>
    <n v="4"/>
    <n v="1906.89"/>
    <n v="7627.56"/>
  </r>
  <r>
    <x v="64"/>
    <s v="Ananya"/>
    <x v="8"/>
    <x v="4"/>
    <s v="North"/>
    <x v="3"/>
    <s v="Oil"/>
    <n v="14"/>
    <n v="3829.68"/>
    <n v="53615.519999999997"/>
  </r>
  <r>
    <x v="310"/>
    <s v="Vihaan"/>
    <x v="5"/>
    <x v="1"/>
    <s v="South"/>
    <x v="1"/>
    <s v="Ruler"/>
    <n v="19"/>
    <n v="2636.08"/>
    <n v="50085.52"/>
  </r>
  <r>
    <x v="232"/>
    <s v="Meera"/>
    <x v="1"/>
    <x v="1"/>
    <s v="South"/>
    <x v="4"/>
    <s v="Headphones"/>
    <n v="13"/>
    <n v="3994.86"/>
    <n v="51933.18"/>
  </r>
  <r>
    <x v="0"/>
    <s v="Ishita"/>
    <x v="7"/>
    <x v="3"/>
    <s v="West"/>
    <x v="1"/>
    <s v="Eraser"/>
    <n v="12"/>
    <n v="1554.75"/>
    <n v="18657"/>
  </r>
  <r>
    <x v="311"/>
    <s v="Aarav"/>
    <x v="6"/>
    <x v="2"/>
    <s v="South"/>
    <x v="1"/>
    <s v="Notebook"/>
    <n v="9"/>
    <n v="4674.04"/>
    <n v="42066.36"/>
  </r>
  <r>
    <x v="42"/>
    <s v="Aarav"/>
    <x v="14"/>
    <x v="3"/>
    <s v="West"/>
    <x v="0"/>
    <s v="Table"/>
    <n v="2"/>
    <n v="1252.3"/>
    <n v="2504.6"/>
  </r>
  <r>
    <x v="312"/>
    <s v="Aditi"/>
    <x v="12"/>
    <x v="2"/>
    <s v="South"/>
    <x v="1"/>
    <s v="Eraser"/>
    <n v="15"/>
    <n v="1738.86"/>
    <n v="26082.9"/>
  </r>
  <r>
    <x v="69"/>
    <s v="Vihaan"/>
    <x v="10"/>
    <x v="3"/>
    <s v="West"/>
    <x v="2"/>
    <s v="Pants"/>
    <n v="4"/>
    <n v="2527.15"/>
    <n v="10108.6"/>
  </r>
  <r>
    <x v="313"/>
    <s v="Aditi"/>
    <x v="7"/>
    <x v="3"/>
    <s v="West"/>
    <x v="2"/>
    <s v="Dress"/>
    <n v="17"/>
    <n v="4247.5600000000004"/>
    <n v="72208.52"/>
  </r>
  <r>
    <x v="152"/>
    <s v="Ananya"/>
    <x v="5"/>
    <x v="1"/>
    <s v="South"/>
    <x v="3"/>
    <s v="Lentils"/>
    <n v="8"/>
    <n v="978.4"/>
    <n v="7827.2"/>
  </r>
  <r>
    <x v="210"/>
    <s v="Ananya"/>
    <x v="14"/>
    <x v="3"/>
    <s v="West"/>
    <x v="0"/>
    <s v="Sofa"/>
    <n v="5"/>
    <n v="1530.16"/>
    <n v="7650.8"/>
  </r>
  <r>
    <x v="202"/>
    <s v="Kabir"/>
    <x v="1"/>
    <x v="1"/>
    <s v="South"/>
    <x v="0"/>
    <s v="Sofa"/>
    <n v="15"/>
    <n v="4748.62"/>
    <n v="71229.3"/>
  </r>
  <r>
    <x v="287"/>
    <s v="Ananya"/>
    <x v="2"/>
    <x v="2"/>
    <s v="South"/>
    <x v="0"/>
    <s v="Table"/>
    <n v="5"/>
    <n v="4402.72"/>
    <n v="22013.599999999999"/>
  </r>
  <r>
    <x v="314"/>
    <s v="Meera"/>
    <x v="4"/>
    <x v="0"/>
    <s v="West"/>
    <x v="2"/>
    <s v="Dress"/>
    <n v="16"/>
    <n v="3858.12"/>
    <n v="61729.919999999998"/>
  </r>
  <r>
    <x v="101"/>
    <s v="Nishant"/>
    <x v="14"/>
    <x v="3"/>
    <s v="West"/>
    <x v="3"/>
    <s v="Rice"/>
    <n v="10"/>
    <n v="4939.99"/>
    <n v="49399.9"/>
  </r>
  <r>
    <x v="25"/>
    <s v="Meera"/>
    <x v="1"/>
    <x v="1"/>
    <s v="South"/>
    <x v="0"/>
    <s v="Chair"/>
    <n v="8"/>
    <n v="2394.87"/>
    <n v="19158.96"/>
  </r>
  <r>
    <x v="171"/>
    <s v="Vihaan"/>
    <x v="14"/>
    <x v="3"/>
    <s v="West"/>
    <x v="2"/>
    <s v="Jacket"/>
    <n v="11"/>
    <n v="3277.74"/>
    <n v="36055.14"/>
  </r>
  <r>
    <x v="95"/>
    <s v="Ishita"/>
    <x v="2"/>
    <x v="2"/>
    <s v="South"/>
    <x v="0"/>
    <s v="Chair"/>
    <n v="5"/>
    <n v="2411.33"/>
    <n v="12056.65"/>
  </r>
  <r>
    <x v="38"/>
    <s v="Nishant"/>
    <x v="7"/>
    <x v="3"/>
    <s v="West"/>
    <x v="1"/>
    <s v="Pen"/>
    <n v="17"/>
    <n v="3844.7"/>
    <n v="65359.9"/>
  </r>
  <r>
    <x v="142"/>
    <s v="Ananya"/>
    <x v="1"/>
    <x v="1"/>
    <s v="South"/>
    <x v="2"/>
    <s v="Shirt"/>
    <n v="14"/>
    <n v="816.99"/>
    <n v="11437.86"/>
  </r>
  <r>
    <x v="276"/>
    <s v="Riya"/>
    <x v="5"/>
    <x v="1"/>
    <s v="South"/>
    <x v="4"/>
    <s v="Tablet"/>
    <n v="3"/>
    <n v="3102.92"/>
    <n v="9308.76"/>
  </r>
  <r>
    <x v="160"/>
    <s v="Aditi"/>
    <x v="7"/>
    <x v="3"/>
    <s v="West"/>
    <x v="4"/>
    <s v="Laptop"/>
    <n v="11"/>
    <n v="490.34"/>
    <n v="5393.74"/>
  </r>
  <r>
    <x v="215"/>
    <s v="Aarav"/>
    <x v="9"/>
    <x v="0"/>
    <s v="West"/>
    <x v="2"/>
    <s v="Shirt"/>
    <n v="6"/>
    <n v="4079.26"/>
    <n v="24475.56"/>
  </r>
  <r>
    <x v="133"/>
    <s v="Meera"/>
    <x v="13"/>
    <x v="4"/>
    <s v="North"/>
    <x v="0"/>
    <s v="Chair"/>
    <n v="12"/>
    <n v="3229.61"/>
    <n v="38755.32"/>
  </r>
  <r>
    <x v="222"/>
    <s v="Ishita"/>
    <x v="3"/>
    <x v="1"/>
    <s v="South"/>
    <x v="1"/>
    <s v="Pen"/>
    <n v="16"/>
    <n v="1873.12"/>
    <n v="29969.919999999998"/>
  </r>
  <r>
    <x v="194"/>
    <s v="Aditi"/>
    <x v="4"/>
    <x v="0"/>
    <s v="West"/>
    <x v="3"/>
    <s v="Sugar"/>
    <n v="7"/>
    <n v="1640.58"/>
    <n v="11484.06"/>
  </r>
  <r>
    <x v="167"/>
    <s v="Meera"/>
    <x v="0"/>
    <x v="0"/>
    <s v="West"/>
    <x v="4"/>
    <s v="Laptop"/>
    <n v="13"/>
    <n v="4843.21"/>
    <n v="62961.73"/>
  </r>
  <r>
    <x v="69"/>
    <s v="Kabir"/>
    <x v="8"/>
    <x v="4"/>
    <s v="North"/>
    <x v="1"/>
    <s v="Ruler"/>
    <n v="13"/>
    <n v="1782.01"/>
    <n v="23166.13"/>
  </r>
  <r>
    <x v="142"/>
    <s v="Kabir"/>
    <x v="6"/>
    <x v="2"/>
    <s v="South"/>
    <x v="3"/>
    <s v="Sugar"/>
    <n v="19"/>
    <n v="1120.5999999999999"/>
    <n v="21291.4"/>
  </r>
  <r>
    <x v="16"/>
    <s v="Riya"/>
    <x v="2"/>
    <x v="2"/>
    <s v="South"/>
    <x v="0"/>
    <s v="Bed"/>
    <n v="2"/>
    <n v="1927.02"/>
    <n v="3854.04"/>
  </r>
  <r>
    <x v="169"/>
    <s v="Aditi"/>
    <x v="4"/>
    <x v="0"/>
    <s v="West"/>
    <x v="0"/>
    <s v="Sofa"/>
    <n v="15"/>
    <n v="4642.6899999999996"/>
    <n v="69640.350000000006"/>
  </r>
  <r>
    <x v="315"/>
    <s v="Aditi"/>
    <x v="4"/>
    <x v="0"/>
    <s v="West"/>
    <x v="1"/>
    <s v="Ruler"/>
    <n v="19"/>
    <n v="3316.87"/>
    <n v="63020.53"/>
  </r>
  <r>
    <x v="36"/>
    <s v="Vihaan"/>
    <x v="10"/>
    <x v="3"/>
    <s v="West"/>
    <x v="1"/>
    <s v="Notebook"/>
    <n v="19"/>
    <n v="1372.28"/>
    <n v="26073.32"/>
  </r>
  <r>
    <x v="99"/>
    <s v="Aditi"/>
    <x v="2"/>
    <x v="2"/>
    <s v="South"/>
    <x v="1"/>
    <s v="Notebook"/>
    <n v="8"/>
    <n v="4786.4799999999996"/>
    <n v="38291.839999999997"/>
  </r>
  <r>
    <x v="101"/>
    <s v="Nishant"/>
    <x v="5"/>
    <x v="1"/>
    <s v="South"/>
    <x v="0"/>
    <s v="Sofa"/>
    <n v="18"/>
    <n v="620.92999999999995"/>
    <n v="11176.74"/>
  </r>
  <r>
    <x v="3"/>
    <s v="Kabir"/>
    <x v="5"/>
    <x v="1"/>
    <s v="South"/>
    <x v="4"/>
    <s v="Tablet"/>
    <n v="4"/>
    <n v="1241.21"/>
    <n v="4964.84"/>
  </r>
  <r>
    <x v="221"/>
    <s v="Meera"/>
    <x v="9"/>
    <x v="0"/>
    <s v="West"/>
    <x v="4"/>
    <s v="Tablet"/>
    <n v="10"/>
    <n v="1823.34"/>
    <n v="18233.400000000001"/>
  </r>
  <r>
    <x v="172"/>
    <s v="Ananya"/>
    <x v="9"/>
    <x v="0"/>
    <s v="West"/>
    <x v="2"/>
    <s v="Pants"/>
    <n v="10"/>
    <n v="4304.71"/>
    <n v="43047.1"/>
  </r>
  <r>
    <x v="316"/>
    <s v="Kabir"/>
    <x v="1"/>
    <x v="1"/>
    <s v="South"/>
    <x v="3"/>
    <s v="Sugar"/>
    <n v="11"/>
    <n v="4446.37"/>
    <n v="48910.07"/>
  </r>
  <r>
    <x v="128"/>
    <s v="Nishant"/>
    <x v="4"/>
    <x v="0"/>
    <s v="West"/>
    <x v="3"/>
    <s v="Lentils"/>
    <n v="8"/>
    <n v="465.32"/>
    <n v="3722.56"/>
  </r>
  <r>
    <x v="79"/>
    <s v="Aarav"/>
    <x v="3"/>
    <x v="1"/>
    <s v="South"/>
    <x v="1"/>
    <s v="Pen"/>
    <n v="1"/>
    <n v="3431.7"/>
    <n v="3431.7"/>
  </r>
  <r>
    <x v="317"/>
    <s v="Aditi"/>
    <x v="4"/>
    <x v="0"/>
    <s v="West"/>
    <x v="0"/>
    <s v="Sofa"/>
    <n v="20"/>
    <n v="1365.33"/>
    <n v="27306.6"/>
  </r>
  <r>
    <x v="253"/>
    <s v="Nishant"/>
    <x v="1"/>
    <x v="1"/>
    <s v="South"/>
    <x v="4"/>
    <s v="Headphones"/>
    <n v="14"/>
    <n v="2343.4"/>
    <n v="32807.599999999999"/>
  </r>
  <r>
    <x v="99"/>
    <s v="Aryan"/>
    <x v="7"/>
    <x v="3"/>
    <s v="West"/>
    <x v="4"/>
    <s v="Laptop"/>
    <n v="15"/>
    <n v="447.71"/>
    <n v="6715.65"/>
  </r>
  <r>
    <x v="299"/>
    <s v="Aryan"/>
    <x v="14"/>
    <x v="3"/>
    <s v="West"/>
    <x v="3"/>
    <s v="Oil"/>
    <n v="3"/>
    <n v="2393.7199999999998"/>
    <n v="7181.16"/>
  </r>
  <r>
    <x v="171"/>
    <s v="Kabir"/>
    <x v="8"/>
    <x v="4"/>
    <s v="North"/>
    <x v="2"/>
    <s v="Pants"/>
    <n v="20"/>
    <n v="138.6"/>
    <n v="2772"/>
  </r>
  <r>
    <x v="208"/>
    <s v="Riya"/>
    <x v="4"/>
    <x v="0"/>
    <s v="West"/>
    <x v="3"/>
    <s v="Lentils"/>
    <n v="6"/>
    <n v="3119.62"/>
    <n v="18717.72"/>
  </r>
  <r>
    <x v="252"/>
    <s v="Ishita"/>
    <x v="5"/>
    <x v="1"/>
    <s v="South"/>
    <x v="4"/>
    <s v="Tablet"/>
    <n v="1"/>
    <n v="4175.7"/>
    <n v="4175.7"/>
  </r>
  <r>
    <x v="5"/>
    <s v="Ananya"/>
    <x v="11"/>
    <x v="4"/>
    <s v="North"/>
    <x v="1"/>
    <s v="Pen"/>
    <n v="17"/>
    <n v="2655.23"/>
    <n v="45138.91"/>
  </r>
  <r>
    <x v="51"/>
    <s v="Aryan"/>
    <x v="13"/>
    <x v="4"/>
    <s v="North"/>
    <x v="3"/>
    <s v="Oil"/>
    <n v="14"/>
    <n v="4235.22"/>
    <n v="59293.08"/>
  </r>
  <r>
    <x v="214"/>
    <s v="Meera"/>
    <x v="8"/>
    <x v="4"/>
    <s v="North"/>
    <x v="1"/>
    <s v="Pen"/>
    <n v="20"/>
    <n v="3393.01"/>
    <n v="67860.2"/>
  </r>
  <r>
    <x v="196"/>
    <s v="Aryan"/>
    <x v="6"/>
    <x v="2"/>
    <s v="South"/>
    <x v="4"/>
    <s v="Headphones"/>
    <n v="14"/>
    <n v="1247.48"/>
    <n v="17464.72"/>
  </r>
  <r>
    <x v="61"/>
    <s v="Ananya"/>
    <x v="7"/>
    <x v="3"/>
    <s v="West"/>
    <x v="2"/>
    <s v="Dress"/>
    <n v="20"/>
    <n v="4428.59"/>
    <n v="88571.8"/>
  </r>
  <r>
    <x v="298"/>
    <s v="Ishita"/>
    <x v="5"/>
    <x v="1"/>
    <s v="South"/>
    <x v="1"/>
    <s v="Ruler"/>
    <n v="9"/>
    <n v="2251.19"/>
    <n v="20260.71"/>
  </r>
  <r>
    <x v="318"/>
    <s v="Nishant"/>
    <x v="1"/>
    <x v="1"/>
    <s v="South"/>
    <x v="4"/>
    <s v="Smartphone"/>
    <n v="19"/>
    <n v="2240.89"/>
    <n v="42576.91"/>
  </r>
  <r>
    <x v="272"/>
    <s v="Aarav"/>
    <x v="8"/>
    <x v="4"/>
    <s v="North"/>
    <x v="0"/>
    <s v="Sofa"/>
    <n v="19"/>
    <n v="4089.21"/>
    <n v="77694.990000000005"/>
  </r>
  <r>
    <x v="126"/>
    <s v="Aryan"/>
    <x v="1"/>
    <x v="1"/>
    <s v="South"/>
    <x v="3"/>
    <s v="Rice"/>
    <n v="6"/>
    <n v="4286.28"/>
    <n v="25717.68"/>
  </r>
  <r>
    <x v="127"/>
    <s v="Aditi"/>
    <x v="3"/>
    <x v="1"/>
    <s v="South"/>
    <x v="4"/>
    <s v="Laptop"/>
    <n v="20"/>
    <n v="1316.67"/>
    <n v="26333.4"/>
  </r>
  <r>
    <x v="254"/>
    <s v="Aryan"/>
    <x v="10"/>
    <x v="3"/>
    <s v="West"/>
    <x v="2"/>
    <s v="Jacket"/>
    <n v="17"/>
    <n v="3145.73"/>
    <n v="53477.41"/>
  </r>
  <r>
    <x v="147"/>
    <s v="Aryan"/>
    <x v="9"/>
    <x v="0"/>
    <s v="West"/>
    <x v="2"/>
    <s v="Pants"/>
    <n v="10"/>
    <n v="2523.59"/>
    <n v="25235.9"/>
  </r>
  <r>
    <x v="261"/>
    <s v="Nishant"/>
    <x v="11"/>
    <x v="4"/>
    <s v="North"/>
    <x v="1"/>
    <s v="Ruler"/>
    <n v="2"/>
    <n v="2851.64"/>
    <n v="5703.28"/>
  </r>
  <r>
    <x v="234"/>
    <s v="Aryan"/>
    <x v="9"/>
    <x v="0"/>
    <s v="West"/>
    <x v="1"/>
    <s v="Ruler"/>
    <n v="20"/>
    <n v="3193.18"/>
    <n v="63863.6"/>
  </r>
  <r>
    <x v="150"/>
    <s v="Nishant"/>
    <x v="13"/>
    <x v="4"/>
    <s v="North"/>
    <x v="2"/>
    <s v="Pants"/>
    <n v="8"/>
    <n v="4663.82"/>
    <n v="37310.559999999998"/>
  </r>
  <r>
    <x v="80"/>
    <s v="Aarav"/>
    <x v="4"/>
    <x v="0"/>
    <s v="West"/>
    <x v="1"/>
    <s v="Notebook"/>
    <n v="13"/>
    <n v="4263.79"/>
    <n v="55429.27"/>
  </r>
  <r>
    <x v="227"/>
    <s v="Kabir"/>
    <x v="3"/>
    <x v="1"/>
    <s v="South"/>
    <x v="0"/>
    <s v="Chair"/>
    <n v="11"/>
    <n v="819.85"/>
    <n v="9018.35"/>
  </r>
  <r>
    <x v="319"/>
    <s v="Ananya"/>
    <x v="3"/>
    <x v="1"/>
    <s v="South"/>
    <x v="4"/>
    <s v="Tablet"/>
    <n v="8"/>
    <n v="2784.08"/>
    <n v="22272.639999999999"/>
  </r>
  <r>
    <x v="154"/>
    <s v="Aryan"/>
    <x v="5"/>
    <x v="1"/>
    <s v="South"/>
    <x v="2"/>
    <s v="Shirt"/>
    <n v="8"/>
    <n v="2240.2199999999998"/>
    <n v="17921.759999999998"/>
  </r>
  <r>
    <x v="20"/>
    <s v="Vihaan"/>
    <x v="5"/>
    <x v="1"/>
    <s v="South"/>
    <x v="4"/>
    <s v="Headphones"/>
    <n v="18"/>
    <n v="1039.3800000000001"/>
    <n v="18708.84"/>
  </r>
  <r>
    <x v="209"/>
    <s v="Aditi"/>
    <x v="10"/>
    <x v="3"/>
    <s v="West"/>
    <x v="3"/>
    <s v="Rice"/>
    <n v="18"/>
    <n v="1297.93"/>
    <n v="23362.74"/>
  </r>
  <r>
    <x v="299"/>
    <s v="Kabir"/>
    <x v="4"/>
    <x v="0"/>
    <s v="West"/>
    <x v="0"/>
    <s v="Sofa"/>
    <n v="4"/>
    <n v="4293.74"/>
    <n v="17174.96"/>
  </r>
  <r>
    <x v="320"/>
    <s v="Ishita"/>
    <x v="13"/>
    <x v="4"/>
    <s v="North"/>
    <x v="4"/>
    <s v="Headphones"/>
    <n v="11"/>
    <n v="2133.36"/>
    <n v="23466.959999999999"/>
  </r>
  <r>
    <x v="79"/>
    <s v="Meera"/>
    <x v="2"/>
    <x v="2"/>
    <s v="South"/>
    <x v="3"/>
    <s v="Sugar"/>
    <n v="11"/>
    <n v="735.74"/>
    <n v="8093.14"/>
  </r>
  <r>
    <x v="235"/>
    <s v="Nishant"/>
    <x v="8"/>
    <x v="4"/>
    <s v="North"/>
    <x v="2"/>
    <s v="Dress"/>
    <n v="14"/>
    <n v="271.27"/>
    <n v="3797.78"/>
  </r>
  <r>
    <x v="122"/>
    <s v="Nishant"/>
    <x v="2"/>
    <x v="2"/>
    <s v="South"/>
    <x v="0"/>
    <s v="Table"/>
    <n v="5"/>
    <n v="4759.1899999999996"/>
    <n v="23795.95"/>
  </r>
  <r>
    <x v="68"/>
    <s v="Vihaan"/>
    <x v="7"/>
    <x v="3"/>
    <s v="West"/>
    <x v="4"/>
    <s v="Laptop"/>
    <n v="11"/>
    <n v="941.97"/>
    <n v="10361.67"/>
  </r>
  <r>
    <x v="232"/>
    <s v="Vihaan"/>
    <x v="3"/>
    <x v="1"/>
    <s v="South"/>
    <x v="3"/>
    <s v="Oil"/>
    <n v="11"/>
    <n v="2182.46"/>
    <n v="24007.06"/>
  </r>
  <r>
    <x v="297"/>
    <s v="Vihaan"/>
    <x v="4"/>
    <x v="0"/>
    <s v="West"/>
    <x v="3"/>
    <s v="Sugar"/>
    <n v="10"/>
    <n v="2112.91"/>
    <n v="21129.1"/>
  </r>
  <r>
    <x v="118"/>
    <s v="Aditi"/>
    <x v="10"/>
    <x v="3"/>
    <s v="West"/>
    <x v="2"/>
    <s v="Dress"/>
    <n v="13"/>
    <n v="3495.08"/>
    <n v="45436.04"/>
  </r>
  <r>
    <x v="290"/>
    <s v="Meera"/>
    <x v="11"/>
    <x v="4"/>
    <s v="North"/>
    <x v="3"/>
    <s v="Lentils"/>
    <n v="2"/>
    <n v="3439.47"/>
    <n v="6878.94"/>
  </r>
  <r>
    <x v="30"/>
    <s v="Nishant"/>
    <x v="14"/>
    <x v="3"/>
    <s v="West"/>
    <x v="0"/>
    <s v="Table"/>
    <n v="20"/>
    <n v="3279.25"/>
    <n v="65585"/>
  </r>
  <r>
    <x v="313"/>
    <s v="Nishant"/>
    <x v="13"/>
    <x v="4"/>
    <s v="North"/>
    <x v="0"/>
    <s v="Bed"/>
    <n v="16"/>
    <n v="3320.8"/>
    <n v="53132.800000000003"/>
  </r>
  <r>
    <x v="208"/>
    <s v="Nishant"/>
    <x v="9"/>
    <x v="0"/>
    <s v="West"/>
    <x v="2"/>
    <s v="Jacket"/>
    <n v="6"/>
    <n v="4105.1899999999996"/>
    <n v="24631.14"/>
  </r>
  <r>
    <x v="315"/>
    <s v="Riya"/>
    <x v="11"/>
    <x v="4"/>
    <s v="North"/>
    <x v="3"/>
    <s v="Rice"/>
    <n v="7"/>
    <n v="1830.46"/>
    <n v="12813.22"/>
  </r>
  <r>
    <x v="321"/>
    <s v="Vihaan"/>
    <x v="11"/>
    <x v="4"/>
    <s v="North"/>
    <x v="1"/>
    <s v="Notebook"/>
    <n v="19"/>
    <n v="3901.75"/>
    <n v="74133.25"/>
  </r>
  <r>
    <x v="322"/>
    <s v="Vihaan"/>
    <x v="1"/>
    <x v="1"/>
    <s v="South"/>
    <x v="3"/>
    <s v="Lentils"/>
    <n v="10"/>
    <n v="3031.91"/>
    <n v="30319.1"/>
  </r>
  <r>
    <x v="197"/>
    <s v="Aarav"/>
    <x v="0"/>
    <x v="0"/>
    <s v="West"/>
    <x v="1"/>
    <s v="Ruler"/>
    <n v="18"/>
    <n v="3575.04"/>
    <n v="64350.720000000001"/>
  </r>
  <r>
    <x v="323"/>
    <s v="Riya"/>
    <x v="2"/>
    <x v="2"/>
    <s v="South"/>
    <x v="3"/>
    <s v="Sugar"/>
    <n v="17"/>
    <n v="2920.06"/>
    <n v="49641.02"/>
  </r>
  <r>
    <x v="309"/>
    <s v="Aryan"/>
    <x v="4"/>
    <x v="0"/>
    <s v="West"/>
    <x v="4"/>
    <s v="Tablet"/>
    <n v="15"/>
    <n v="2796.48"/>
    <n v="41947.199999999997"/>
  </r>
  <r>
    <x v="324"/>
    <s v="Ishita"/>
    <x v="5"/>
    <x v="1"/>
    <s v="South"/>
    <x v="4"/>
    <s v="Laptop"/>
    <n v="1"/>
    <n v="2918.29"/>
    <n v="2918.29"/>
  </r>
  <r>
    <x v="325"/>
    <s v="Riya"/>
    <x v="7"/>
    <x v="3"/>
    <s v="West"/>
    <x v="0"/>
    <s v="Bed"/>
    <n v="10"/>
    <n v="1097.83"/>
    <n v="10978.3"/>
  </r>
  <r>
    <x v="258"/>
    <s v="Meera"/>
    <x v="4"/>
    <x v="0"/>
    <s v="West"/>
    <x v="2"/>
    <s v="Shirt"/>
    <n v="10"/>
    <n v="3391.5"/>
    <n v="33915"/>
  </r>
  <r>
    <x v="53"/>
    <s v="Ananya"/>
    <x v="13"/>
    <x v="4"/>
    <s v="North"/>
    <x v="3"/>
    <s v="Sugar"/>
    <n v="13"/>
    <n v="2225.88"/>
    <n v="28936.44"/>
  </r>
  <r>
    <x v="298"/>
    <s v="Aarav"/>
    <x v="9"/>
    <x v="0"/>
    <s v="West"/>
    <x v="2"/>
    <s v="Shirt"/>
    <n v="2"/>
    <n v="1559.76"/>
    <n v="3119.52"/>
  </r>
  <r>
    <x v="124"/>
    <s v="Nishant"/>
    <x v="14"/>
    <x v="3"/>
    <s v="West"/>
    <x v="3"/>
    <s v="Rice"/>
    <n v="13"/>
    <n v="4719.96"/>
    <n v="61359.48"/>
  </r>
  <r>
    <x v="326"/>
    <s v="Kabir"/>
    <x v="2"/>
    <x v="2"/>
    <s v="South"/>
    <x v="1"/>
    <s v="Eraser"/>
    <n v="5"/>
    <n v="1593.02"/>
    <n v="7965.1"/>
  </r>
  <r>
    <x v="39"/>
    <s v="Ishita"/>
    <x v="5"/>
    <x v="1"/>
    <s v="South"/>
    <x v="2"/>
    <s v="Dress"/>
    <n v="7"/>
    <n v="1233.6300000000001"/>
    <n v="8635.41"/>
  </r>
  <r>
    <x v="112"/>
    <s v="Aditi"/>
    <x v="3"/>
    <x v="1"/>
    <s v="South"/>
    <x v="4"/>
    <s v="Smartphone"/>
    <n v="2"/>
    <n v="2261.69"/>
    <n v="4523.38"/>
  </r>
  <r>
    <x v="83"/>
    <s v="Riya"/>
    <x v="1"/>
    <x v="1"/>
    <s v="South"/>
    <x v="3"/>
    <s v="Sugar"/>
    <n v="15"/>
    <n v="1197.31"/>
    <n v="17959.650000000001"/>
  </r>
  <r>
    <x v="300"/>
    <s v="Vihaan"/>
    <x v="6"/>
    <x v="2"/>
    <s v="South"/>
    <x v="1"/>
    <s v="Eraser"/>
    <n v="9"/>
    <n v="3441.09"/>
    <n v="30969.81"/>
  </r>
  <r>
    <x v="239"/>
    <s v="Vihaan"/>
    <x v="13"/>
    <x v="4"/>
    <s v="North"/>
    <x v="0"/>
    <s v="Sofa"/>
    <n v="2"/>
    <n v="3325.99"/>
    <n v="6651.98"/>
  </r>
  <r>
    <x v="274"/>
    <s v="Kabir"/>
    <x v="4"/>
    <x v="0"/>
    <s v="West"/>
    <x v="2"/>
    <s v="Dress"/>
    <n v="2"/>
    <n v="991.8"/>
    <n v="1983.6"/>
  </r>
  <r>
    <x v="310"/>
    <s v="Ananya"/>
    <x v="13"/>
    <x v="4"/>
    <s v="North"/>
    <x v="3"/>
    <s v="Lentils"/>
    <n v="9"/>
    <n v="4763.01"/>
    <n v="42867.09"/>
  </r>
  <r>
    <x v="117"/>
    <s v="Aryan"/>
    <x v="14"/>
    <x v="3"/>
    <s v="West"/>
    <x v="2"/>
    <s v="Jacket"/>
    <n v="8"/>
    <n v="826.71"/>
    <n v="6613.68"/>
  </r>
  <r>
    <x v="7"/>
    <s v="Meera"/>
    <x v="2"/>
    <x v="2"/>
    <s v="South"/>
    <x v="3"/>
    <s v="Oil"/>
    <n v="9"/>
    <n v="209.57"/>
    <n v="1886.13"/>
  </r>
  <r>
    <x v="184"/>
    <s v="Ishita"/>
    <x v="2"/>
    <x v="2"/>
    <s v="South"/>
    <x v="4"/>
    <s v="Headphones"/>
    <n v="7"/>
    <n v="2538.4299999999998"/>
    <n v="17769.009999999998"/>
  </r>
  <r>
    <x v="256"/>
    <s v="Aditi"/>
    <x v="10"/>
    <x v="3"/>
    <s v="West"/>
    <x v="3"/>
    <s v="Sugar"/>
    <n v="7"/>
    <n v="4116.9799999999996"/>
    <n v="28818.86"/>
  </r>
  <r>
    <x v="224"/>
    <s v="Vihaan"/>
    <x v="9"/>
    <x v="0"/>
    <s v="West"/>
    <x v="4"/>
    <s v="Laptop"/>
    <n v="20"/>
    <n v="3638.01"/>
    <n v="72760.2"/>
  </r>
  <r>
    <x v="321"/>
    <s v="Kabir"/>
    <x v="8"/>
    <x v="4"/>
    <s v="North"/>
    <x v="0"/>
    <s v="Sofa"/>
    <n v="8"/>
    <n v="4523.4399999999996"/>
    <n v="36187.519999999997"/>
  </r>
  <r>
    <x v="317"/>
    <s v="Aditi"/>
    <x v="13"/>
    <x v="4"/>
    <s v="North"/>
    <x v="0"/>
    <s v="Bed"/>
    <n v="17"/>
    <n v="2042"/>
    <n v="34714"/>
  </r>
  <r>
    <x v="102"/>
    <s v="Kabir"/>
    <x v="3"/>
    <x v="1"/>
    <s v="South"/>
    <x v="1"/>
    <s v="Ruler"/>
    <n v="19"/>
    <n v="2357.62"/>
    <n v="44794.78"/>
  </r>
  <r>
    <x v="46"/>
    <s v="Nishant"/>
    <x v="6"/>
    <x v="2"/>
    <s v="South"/>
    <x v="2"/>
    <s v="Dress"/>
    <n v="18"/>
    <n v="941.19"/>
    <n v="16941.419999999998"/>
  </r>
  <r>
    <x v="244"/>
    <s v="Ananya"/>
    <x v="1"/>
    <x v="1"/>
    <s v="South"/>
    <x v="2"/>
    <s v="Shirt"/>
    <n v="9"/>
    <n v="3927.83"/>
    <n v="35350.47"/>
  </r>
  <r>
    <x v="140"/>
    <s v="Vihaan"/>
    <x v="2"/>
    <x v="2"/>
    <s v="South"/>
    <x v="3"/>
    <s v="Sugar"/>
    <n v="1"/>
    <n v="4555.42"/>
    <n v="4555.42"/>
  </r>
  <r>
    <x v="207"/>
    <s v="Ishita"/>
    <x v="0"/>
    <x v="0"/>
    <s v="West"/>
    <x v="2"/>
    <s v="Shirt"/>
    <n v="18"/>
    <n v="3271.29"/>
    <n v="58883.22"/>
  </r>
  <r>
    <x v="71"/>
    <s v="Meera"/>
    <x v="14"/>
    <x v="3"/>
    <s v="West"/>
    <x v="4"/>
    <s v="Smartphone"/>
    <n v="15"/>
    <n v="4406.3100000000004"/>
    <n v="66094.649999999994"/>
  </r>
  <r>
    <x v="58"/>
    <s v="Aryan"/>
    <x v="10"/>
    <x v="3"/>
    <s v="West"/>
    <x v="1"/>
    <s v="Notebook"/>
    <n v="19"/>
    <n v="2016.56"/>
    <n v="38314.639999999999"/>
  </r>
  <r>
    <x v="295"/>
    <s v="Aryan"/>
    <x v="14"/>
    <x v="3"/>
    <s v="West"/>
    <x v="0"/>
    <s v="Chair"/>
    <n v="13"/>
    <n v="3531.03"/>
    <n v="45903.39"/>
  </r>
  <r>
    <x v="327"/>
    <s v="Aarav"/>
    <x v="1"/>
    <x v="1"/>
    <s v="South"/>
    <x v="0"/>
    <s v="Table"/>
    <n v="7"/>
    <n v="4077.95"/>
    <n v="28545.65"/>
  </r>
  <r>
    <x v="236"/>
    <s v="Ishita"/>
    <x v="6"/>
    <x v="2"/>
    <s v="South"/>
    <x v="3"/>
    <s v="Oil"/>
    <n v="1"/>
    <n v="1628.88"/>
    <n v="1628.88"/>
  </r>
  <r>
    <x v="18"/>
    <s v="Vihaan"/>
    <x v="2"/>
    <x v="2"/>
    <s v="South"/>
    <x v="2"/>
    <s v="Dress"/>
    <n v="15"/>
    <n v="2093.0300000000002"/>
    <n v="31395.45"/>
  </r>
  <r>
    <x v="84"/>
    <s v="Ananya"/>
    <x v="11"/>
    <x v="4"/>
    <s v="North"/>
    <x v="2"/>
    <s v="Shirt"/>
    <n v="14"/>
    <n v="2441.0700000000002"/>
    <n v="34174.980000000003"/>
  </r>
  <r>
    <x v="146"/>
    <s v="Kabir"/>
    <x v="9"/>
    <x v="0"/>
    <s v="West"/>
    <x v="0"/>
    <s v="Sofa"/>
    <n v="18"/>
    <n v="134.66999999999999"/>
    <n v="2424.06"/>
  </r>
  <r>
    <x v="249"/>
    <s v="Vihaan"/>
    <x v="6"/>
    <x v="2"/>
    <s v="South"/>
    <x v="4"/>
    <s v="Headphones"/>
    <n v="8"/>
    <n v="2518.13"/>
    <n v="20145.04"/>
  </r>
  <r>
    <x v="61"/>
    <s v="Nishant"/>
    <x v="11"/>
    <x v="4"/>
    <s v="North"/>
    <x v="1"/>
    <s v="Pen"/>
    <n v="1"/>
    <n v="2366.64"/>
    <n v="2366.64"/>
  </r>
  <r>
    <x v="269"/>
    <s v="Vihaan"/>
    <x v="4"/>
    <x v="0"/>
    <s v="West"/>
    <x v="1"/>
    <s v="Ruler"/>
    <n v="14"/>
    <n v="3167.49"/>
    <n v="44344.86"/>
  </r>
  <r>
    <x v="328"/>
    <s v="Ishita"/>
    <x v="4"/>
    <x v="0"/>
    <s v="West"/>
    <x v="4"/>
    <s v="Laptop"/>
    <n v="9"/>
    <n v="109.56"/>
    <n v="986.04"/>
  </r>
  <r>
    <x v="15"/>
    <s v="Aarav"/>
    <x v="11"/>
    <x v="4"/>
    <s v="North"/>
    <x v="4"/>
    <s v="Tablet"/>
    <n v="20"/>
    <n v="652.87"/>
    <n v="13057.4"/>
  </r>
  <r>
    <x v="129"/>
    <s v="Ishita"/>
    <x v="2"/>
    <x v="2"/>
    <s v="South"/>
    <x v="2"/>
    <s v="Shirt"/>
    <n v="4"/>
    <n v="2563.65"/>
    <n v="10254.6"/>
  </r>
  <r>
    <x v="92"/>
    <s v="Aditi"/>
    <x v="5"/>
    <x v="1"/>
    <s v="South"/>
    <x v="3"/>
    <s v="Rice"/>
    <n v="2"/>
    <n v="771.23"/>
    <n v="1542.46"/>
  </r>
  <r>
    <x v="175"/>
    <s v="Riya"/>
    <x v="3"/>
    <x v="1"/>
    <s v="South"/>
    <x v="2"/>
    <s v="Shirt"/>
    <n v="19"/>
    <n v="2290.6799999999998"/>
    <n v="43522.92"/>
  </r>
  <r>
    <x v="33"/>
    <s v="Ishita"/>
    <x v="12"/>
    <x v="2"/>
    <s v="South"/>
    <x v="1"/>
    <s v="Eraser"/>
    <n v="9"/>
    <n v="4965.3"/>
    <n v="44687.7"/>
  </r>
  <r>
    <x v="261"/>
    <s v="Aditi"/>
    <x v="0"/>
    <x v="0"/>
    <s v="West"/>
    <x v="4"/>
    <s v="Laptop"/>
    <n v="4"/>
    <n v="3684.5"/>
    <n v="14738"/>
  </r>
  <r>
    <x v="159"/>
    <s v="Nishant"/>
    <x v="7"/>
    <x v="3"/>
    <s v="West"/>
    <x v="3"/>
    <s v="Oil"/>
    <n v="14"/>
    <n v="4566.12"/>
    <n v="63925.68"/>
  </r>
  <r>
    <x v="52"/>
    <s v="Aarav"/>
    <x v="5"/>
    <x v="1"/>
    <s v="South"/>
    <x v="0"/>
    <s v="Chair"/>
    <n v="17"/>
    <n v="2246.8200000000002"/>
    <n v="38195.94"/>
  </r>
  <r>
    <x v="146"/>
    <s v="Nishant"/>
    <x v="13"/>
    <x v="4"/>
    <s v="North"/>
    <x v="1"/>
    <s v="Ruler"/>
    <n v="3"/>
    <n v="215.21"/>
    <n v="645.63"/>
  </r>
  <r>
    <x v="322"/>
    <s v="Kabir"/>
    <x v="2"/>
    <x v="2"/>
    <s v="South"/>
    <x v="4"/>
    <s v="Headphones"/>
    <n v="7"/>
    <n v="1294.31"/>
    <n v="9060.17"/>
  </r>
  <r>
    <x v="211"/>
    <s v="Ishita"/>
    <x v="14"/>
    <x v="3"/>
    <s v="West"/>
    <x v="3"/>
    <s v="Oil"/>
    <n v="9"/>
    <n v="1558.74"/>
    <n v="14028.66"/>
  </r>
  <r>
    <x v="95"/>
    <s v="Aryan"/>
    <x v="1"/>
    <x v="1"/>
    <s v="South"/>
    <x v="1"/>
    <s v="Notebook"/>
    <n v="11"/>
    <n v="4382.91"/>
    <n v="48212.01"/>
  </r>
  <r>
    <x v="277"/>
    <s v="Ishita"/>
    <x v="13"/>
    <x v="4"/>
    <s v="North"/>
    <x v="4"/>
    <s v="Smartphone"/>
    <n v="6"/>
    <n v="4197.59"/>
    <n v="25185.54"/>
  </r>
  <r>
    <x v="42"/>
    <s v="Meera"/>
    <x v="5"/>
    <x v="1"/>
    <s v="South"/>
    <x v="1"/>
    <s v="Notebook"/>
    <n v="2"/>
    <n v="4137.49"/>
    <n v="8274.98"/>
  </r>
  <r>
    <x v="185"/>
    <s v="Riya"/>
    <x v="11"/>
    <x v="4"/>
    <s v="North"/>
    <x v="4"/>
    <s v="Smartphone"/>
    <n v="16"/>
    <n v="1598.06"/>
    <n v="25568.959999999999"/>
  </r>
  <r>
    <x v="326"/>
    <s v="Vihaan"/>
    <x v="13"/>
    <x v="4"/>
    <s v="North"/>
    <x v="0"/>
    <s v="Chair"/>
    <n v="3"/>
    <n v="3044.02"/>
    <n v="9132.06"/>
  </r>
  <r>
    <x v="100"/>
    <s v="Meera"/>
    <x v="9"/>
    <x v="0"/>
    <s v="West"/>
    <x v="2"/>
    <s v="Jacket"/>
    <n v="6"/>
    <n v="4270.03"/>
    <n v="25620.18"/>
  </r>
  <r>
    <x v="170"/>
    <s v="Vihaan"/>
    <x v="9"/>
    <x v="0"/>
    <s v="West"/>
    <x v="0"/>
    <s v="Chair"/>
    <n v="13"/>
    <n v="298.08999999999997"/>
    <n v="3875.17"/>
  </r>
  <r>
    <x v="88"/>
    <s v="Riya"/>
    <x v="14"/>
    <x v="3"/>
    <s v="West"/>
    <x v="4"/>
    <s v="Laptop"/>
    <n v="3"/>
    <n v="1453.68"/>
    <n v="4361.04"/>
  </r>
  <r>
    <x v="114"/>
    <s v="Ananya"/>
    <x v="11"/>
    <x v="4"/>
    <s v="North"/>
    <x v="1"/>
    <s v="Pen"/>
    <n v="4"/>
    <n v="1009.78"/>
    <n v="4039.12"/>
  </r>
  <r>
    <x v="109"/>
    <s v="Meera"/>
    <x v="3"/>
    <x v="1"/>
    <s v="South"/>
    <x v="4"/>
    <s v="Headphones"/>
    <n v="12"/>
    <n v="231.07"/>
    <n v="2772.84"/>
  </r>
  <r>
    <x v="46"/>
    <s v="Meera"/>
    <x v="0"/>
    <x v="0"/>
    <s v="West"/>
    <x v="4"/>
    <s v="Laptop"/>
    <n v="12"/>
    <n v="1410.03"/>
    <n v="16920.36"/>
  </r>
  <r>
    <x v="329"/>
    <s v="Riya"/>
    <x v="9"/>
    <x v="0"/>
    <s v="West"/>
    <x v="1"/>
    <s v="Eraser"/>
    <n v="6"/>
    <n v="1610.91"/>
    <n v="9665.4599999999991"/>
  </r>
  <r>
    <x v="70"/>
    <s v="Aryan"/>
    <x v="12"/>
    <x v="2"/>
    <s v="South"/>
    <x v="1"/>
    <s v="Eraser"/>
    <n v="7"/>
    <n v="3396.62"/>
    <n v="23776.34"/>
  </r>
  <r>
    <x v="104"/>
    <s v="Kabir"/>
    <x v="12"/>
    <x v="2"/>
    <s v="South"/>
    <x v="1"/>
    <s v="Pen"/>
    <n v="14"/>
    <n v="4164.33"/>
    <n v="58300.62"/>
  </r>
  <r>
    <x v="28"/>
    <s v="Kabir"/>
    <x v="0"/>
    <x v="0"/>
    <s v="West"/>
    <x v="0"/>
    <s v="Bed"/>
    <n v="12"/>
    <n v="4414.2700000000004"/>
    <n v="52971.24"/>
  </r>
  <r>
    <x v="283"/>
    <s v="Aryan"/>
    <x v="5"/>
    <x v="1"/>
    <s v="South"/>
    <x v="2"/>
    <s v="Jacket"/>
    <n v="13"/>
    <n v="3101.42"/>
    <n v="40318.46"/>
  </r>
  <r>
    <x v="211"/>
    <s v="Ananya"/>
    <x v="3"/>
    <x v="1"/>
    <s v="South"/>
    <x v="1"/>
    <s v="Notebook"/>
    <n v="18"/>
    <n v="3002.55"/>
    <n v="54045.9"/>
  </r>
  <r>
    <x v="202"/>
    <s v="Meera"/>
    <x v="8"/>
    <x v="4"/>
    <s v="North"/>
    <x v="0"/>
    <s v="Table"/>
    <n v="13"/>
    <n v="2098.65"/>
    <n v="27282.45"/>
  </r>
  <r>
    <x v="288"/>
    <s v="Aryan"/>
    <x v="10"/>
    <x v="3"/>
    <s v="West"/>
    <x v="4"/>
    <s v="Smartphone"/>
    <n v="5"/>
    <n v="4106.79"/>
    <n v="20533.95"/>
  </r>
  <r>
    <x v="97"/>
    <s v="Aditi"/>
    <x v="11"/>
    <x v="4"/>
    <s v="North"/>
    <x v="2"/>
    <s v="Dress"/>
    <n v="1"/>
    <n v="3041.26"/>
    <n v="3041.26"/>
  </r>
  <r>
    <x v="115"/>
    <s v="Aditi"/>
    <x v="4"/>
    <x v="0"/>
    <s v="West"/>
    <x v="1"/>
    <s v="Eraser"/>
    <n v="7"/>
    <n v="4514.21"/>
    <n v="31599.47"/>
  </r>
  <r>
    <x v="307"/>
    <s v="Kabir"/>
    <x v="5"/>
    <x v="1"/>
    <s v="South"/>
    <x v="2"/>
    <s v="Dress"/>
    <n v="18"/>
    <n v="2971.68"/>
    <n v="53490.239999999998"/>
  </r>
  <r>
    <x v="34"/>
    <s v="Riya"/>
    <x v="6"/>
    <x v="2"/>
    <s v="South"/>
    <x v="3"/>
    <s v="Lentils"/>
    <n v="6"/>
    <n v="2263.36"/>
    <n v="13580.16"/>
  </r>
  <r>
    <x v="330"/>
    <s v="Meera"/>
    <x v="1"/>
    <x v="1"/>
    <s v="South"/>
    <x v="0"/>
    <s v="Sofa"/>
    <n v="8"/>
    <n v="3859.28"/>
    <n v="30874.240000000002"/>
  </r>
  <r>
    <x v="240"/>
    <s v="Aryan"/>
    <x v="0"/>
    <x v="0"/>
    <s v="West"/>
    <x v="0"/>
    <s v="Chair"/>
    <n v="14"/>
    <n v="3044.71"/>
    <n v="42625.94"/>
  </r>
  <r>
    <x v="246"/>
    <s v="Aditi"/>
    <x v="12"/>
    <x v="2"/>
    <s v="South"/>
    <x v="1"/>
    <s v="Pen"/>
    <n v="11"/>
    <n v="4653.38"/>
    <n v="51187.18"/>
  </r>
  <r>
    <x v="70"/>
    <s v="Riya"/>
    <x v="6"/>
    <x v="2"/>
    <s v="South"/>
    <x v="0"/>
    <s v="Chair"/>
    <n v="9"/>
    <n v="3425.59"/>
    <n v="30830.31"/>
  </r>
  <r>
    <x v="256"/>
    <s v="Meera"/>
    <x v="4"/>
    <x v="0"/>
    <s v="West"/>
    <x v="2"/>
    <s v="Dress"/>
    <n v="15"/>
    <n v="4671.6899999999996"/>
    <n v="70075.350000000006"/>
  </r>
  <r>
    <x v="215"/>
    <s v="Vihaan"/>
    <x v="9"/>
    <x v="0"/>
    <s v="West"/>
    <x v="1"/>
    <s v="Notebook"/>
    <n v="5"/>
    <n v="4600.38"/>
    <n v="23001.9"/>
  </r>
  <r>
    <x v="50"/>
    <s v="Ananya"/>
    <x v="5"/>
    <x v="1"/>
    <s v="South"/>
    <x v="3"/>
    <s v="Oil"/>
    <n v="19"/>
    <n v="2183.09"/>
    <n v="41478.71"/>
  </r>
  <r>
    <x v="223"/>
    <s v="Riya"/>
    <x v="3"/>
    <x v="1"/>
    <s v="South"/>
    <x v="4"/>
    <s v="Laptop"/>
    <n v="8"/>
    <n v="1850.8"/>
    <n v="14806.4"/>
  </r>
  <r>
    <x v="200"/>
    <s v="Vihaan"/>
    <x v="11"/>
    <x v="4"/>
    <s v="North"/>
    <x v="4"/>
    <s v="Smartphone"/>
    <n v="12"/>
    <n v="3695.68"/>
    <n v="44348.160000000003"/>
  </r>
  <r>
    <x v="331"/>
    <s v="Meera"/>
    <x v="7"/>
    <x v="3"/>
    <s v="West"/>
    <x v="0"/>
    <s v="Chair"/>
    <n v="14"/>
    <n v="3099.57"/>
    <n v="43393.98"/>
  </r>
  <r>
    <x v="7"/>
    <s v="Aarav"/>
    <x v="0"/>
    <x v="0"/>
    <s v="West"/>
    <x v="2"/>
    <s v="Pants"/>
    <n v="1"/>
    <n v="3758.07"/>
    <n v="3758.07"/>
  </r>
  <r>
    <x v="71"/>
    <s v="Ishita"/>
    <x v="8"/>
    <x v="4"/>
    <s v="North"/>
    <x v="0"/>
    <s v="Bed"/>
    <n v="5"/>
    <n v="2536.65"/>
    <n v="12683.25"/>
  </r>
  <r>
    <x v="228"/>
    <s v="Aarav"/>
    <x v="4"/>
    <x v="0"/>
    <s v="West"/>
    <x v="3"/>
    <s v="Sugar"/>
    <n v="9"/>
    <n v="564.08000000000004"/>
    <n v="5076.72"/>
  </r>
  <r>
    <x v="171"/>
    <s v="Meera"/>
    <x v="2"/>
    <x v="2"/>
    <s v="South"/>
    <x v="3"/>
    <s v="Rice"/>
    <n v="4"/>
    <n v="3762.47"/>
    <n v="15049.88"/>
  </r>
  <r>
    <x v="69"/>
    <s v="Nishant"/>
    <x v="14"/>
    <x v="3"/>
    <s v="West"/>
    <x v="3"/>
    <s v="Oil"/>
    <n v="5"/>
    <n v="4180.57"/>
    <n v="20902.849999999999"/>
  </r>
  <r>
    <x v="124"/>
    <s v="Riya"/>
    <x v="12"/>
    <x v="2"/>
    <s v="South"/>
    <x v="0"/>
    <s v="Bed"/>
    <n v="5"/>
    <n v="1947.01"/>
    <n v="9735.0499999999993"/>
  </r>
  <r>
    <x v="114"/>
    <s v="Meera"/>
    <x v="0"/>
    <x v="0"/>
    <s v="West"/>
    <x v="2"/>
    <s v="Shirt"/>
    <n v="13"/>
    <n v="4686.21"/>
    <n v="60920.73"/>
  </r>
  <r>
    <x v="92"/>
    <s v="Nishant"/>
    <x v="0"/>
    <x v="0"/>
    <s v="West"/>
    <x v="0"/>
    <s v="Table"/>
    <n v="7"/>
    <n v="4418.17"/>
    <n v="30927.19"/>
  </r>
  <r>
    <x v="222"/>
    <s v="Riya"/>
    <x v="9"/>
    <x v="0"/>
    <s v="West"/>
    <x v="2"/>
    <s v="Jacket"/>
    <n v="19"/>
    <n v="4186.6400000000003"/>
    <n v="79546.16"/>
  </r>
  <r>
    <x v="271"/>
    <s v="Vihaan"/>
    <x v="10"/>
    <x v="3"/>
    <s v="West"/>
    <x v="0"/>
    <s v="Table"/>
    <n v="6"/>
    <n v="1003.96"/>
    <n v="6023.76"/>
  </r>
  <r>
    <x v="332"/>
    <s v="Aryan"/>
    <x v="3"/>
    <x v="1"/>
    <s v="South"/>
    <x v="4"/>
    <s v="Laptop"/>
    <n v="13"/>
    <n v="1028.74"/>
    <n v="13373.62"/>
  </r>
  <r>
    <x v="186"/>
    <s v="Ishita"/>
    <x v="1"/>
    <x v="1"/>
    <s v="South"/>
    <x v="2"/>
    <s v="Jacket"/>
    <n v="20"/>
    <n v="4751.1400000000003"/>
    <n v="95022.8"/>
  </r>
  <r>
    <x v="257"/>
    <s v="Meera"/>
    <x v="6"/>
    <x v="2"/>
    <s v="South"/>
    <x v="2"/>
    <s v="Shirt"/>
    <n v="8"/>
    <n v="565.82000000000005"/>
    <n v="4526.5600000000004"/>
  </r>
  <r>
    <x v="238"/>
    <s v="Nishant"/>
    <x v="9"/>
    <x v="0"/>
    <s v="West"/>
    <x v="4"/>
    <s v="Smartphone"/>
    <n v="1"/>
    <n v="1903.53"/>
    <n v="1903.53"/>
  </r>
  <r>
    <x v="333"/>
    <s v="Ishita"/>
    <x v="14"/>
    <x v="3"/>
    <s v="West"/>
    <x v="1"/>
    <s v="Ruler"/>
    <n v="20"/>
    <n v="3286.69"/>
    <n v="65733.8"/>
  </r>
  <r>
    <x v="330"/>
    <s v="Meera"/>
    <x v="13"/>
    <x v="4"/>
    <s v="North"/>
    <x v="1"/>
    <s v="Pen"/>
    <n v="20"/>
    <n v="1176.4000000000001"/>
    <n v="23528"/>
  </r>
  <r>
    <x v="152"/>
    <s v="Meera"/>
    <x v="10"/>
    <x v="3"/>
    <s v="West"/>
    <x v="1"/>
    <s v="Ruler"/>
    <n v="11"/>
    <n v="2038.9"/>
    <n v="22427.9"/>
  </r>
  <r>
    <x v="37"/>
    <s v="Nishant"/>
    <x v="1"/>
    <x v="1"/>
    <s v="South"/>
    <x v="1"/>
    <s v="Notebook"/>
    <n v="19"/>
    <n v="3990.16"/>
    <n v="75813.039999999994"/>
  </r>
  <r>
    <x v="195"/>
    <s v="Kabir"/>
    <x v="8"/>
    <x v="4"/>
    <s v="North"/>
    <x v="2"/>
    <s v="Pants"/>
    <n v="15"/>
    <n v="3765.36"/>
    <n v="56480.4"/>
  </r>
  <r>
    <x v="334"/>
    <s v="Aditi"/>
    <x v="5"/>
    <x v="1"/>
    <s v="South"/>
    <x v="2"/>
    <s v="Shirt"/>
    <n v="12"/>
    <n v="1794.88"/>
    <n v="21538.560000000001"/>
  </r>
  <r>
    <x v="335"/>
    <s v="Aarav"/>
    <x v="2"/>
    <x v="2"/>
    <s v="South"/>
    <x v="4"/>
    <s v="Smartphone"/>
    <n v="19"/>
    <n v="2750.97"/>
    <n v="52268.43"/>
  </r>
  <r>
    <x v="34"/>
    <s v="Kabir"/>
    <x v="0"/>
    <x v="0"/>
    <s v="West"/>
    <x v="1"/>
    <s v="Ruler"/>
    <n v="17"/>
    <n v="3677.4"/>
    <n v="62515.8"/>
  </r>
  <r>
    <x v="22"/>
    <s v="Kabir"/>
    <x v="9"/>
    <x v="0"/>
    <s v="West"/>
    <x v="1"/>
    <s v="Ruler"/>
    <n v="7"/>
    <n v="2253.94"/>
    <n v="15777.58"/>
  </r>
  <r>
    <x v="176"/>
    <s v="Nishant"/>
    <x v="2"/>
    <x v="2"/>
    <s v="South"/>
    <x v="3"/>
    <s v="Sugar"/>
    <n v="8"/>
    <n v="1762.43"/>
    <n v="14099.44"/>
  </r>
  <r>
    <x v="19"/>
    <s v="Nishant"/>
    <x v="1"/>
    <x v="1"/>
    <s v="South"/>
    <x v="0"/>
    <s v="Bed"/>
    <n v="20"/>
    <n v="278.55"/>
    <n v="5571"/>
  </r>
  <r>
    <x v="44"/>
    <s v="Meera"/>
    <x v="0"/>
    <x v="0"/>
    <s v="West"/>
    <x v="0"/>
    <s v="Bed"/>
    <n v="7"/>
    <n v="1940.86"/>
    <n v="13586.02"/>
  </r>
  <r>
    <x v="51"/>
    <s v="Meera"/>
    <x v="1"/>
    <x v="1"/>
    <s v="South"/>
    <x v="3"/>
    <s v="Rice"/>
    <n v="1"/>
    <n v="414.64"/>
    <n v="414.64"/>
  </r>
  <r>
    <x v="109"/>
    <s v="Nishant"/>
    <x v="12"/>
    <x v="2"/>
    <s v="South"/>
    <x v="1"/>
    <s v="Eraser"/>
    <n v="7"/>
    <n v="1073.54"/>
    <n v="7514.78"/>
  </r>
  <r>
    <x v="172"/>
    <s v="Aarav"/>
    <x v="1"/>
    <x v="1"/>
    <s v="South"/>
    <x v="4"/>
    <s v="Tablet"/>
    <n v="2"/>
    <n v="2078.33"/>
    <n v="4156.66"/>
  </r>
  <r>
    <x v="28"/>
    <s v="Aditi"/>
    <x v="13"/>
    <x v="4"/>
    <s v="North"/>
    <x v="0"/>
    <s v="Sofa"/>
    <n v="15"/>
    <n v="4188.84"/>
    <n v="62832.6"/>
  </r>
  <r>
    <x v="158"/>
    <s v="Aryan"/>
    <x v="1"/>
    <x v="1"/>
    <s v="South"/>
    <x v="2"/>
    <s v="Jacket"/>
    <n v="16"/>
    <n v="3046.66"/>
    <n v="48746.559999999998"/>
  </r>
  <r>
    <x v="301"/>
    <s v="Aarav"/>
    <x v="1"/>
    <x v="1"/>
    <s v="South"/>
    <x v="2"/>
    <s v="Jacket"/>
    <n v="13"/>
    <n v="566.55999999999995"/>
    <n v="7365.28"/>
  </r>
  <r>
    <x v="249"/>
    <s v="Aarav"/>
    <x v="11"/>
    <x v="4"/>
    <s v="North"/>
    <x v="4"/>
    <s v="Tablet"/>
    <n v="9"/>
    <n v="4726.68"/>
    <n v="42540.12"/>
  </r>
  <r>
    <x v="117"/>
    <s v="Kabir"/>
    <x v="12"/>
    <x v="2"/>
    <s v="South"/>
    <x v="2"/>
    <s v="Jacket"/>
    <n v="15"/>
    <n v="2503.4699999999998"/>
    <n v="37552.050000000003"/>
  </r>
  <r>
    <x v="159"/>
    <s v="Nishant"/>
    <x v="12"/>
    <x v="2"/>
    <s v="South"/>
    <x v="3"/>
    <s v="Rice"/>
    <n v="13"/>
    <n v="2244.77"/>
    <n v="29182.01"/>
  </r>
  <r>
    <x v="267"/>
    <s v="Riya"/>
    <x v="9"/>
    <x v="0"/>
    <s v="West"/>
    <x v="1"/>
    <s v="Ruler"/>
    <n v="18"/>
    <n v="3559.2"/>
    <n v="64065.599999999999"/>
  </r>
  <r>
    <x v="223"/>
    <s v="Aditi"/>
    <x v="6"/>
    <x v="2"/>
    <s v="South"/>
    <x v="2"/>
    <s v="Jacket"/>
    <n v="16"/>
    <n v="4238.6400000000003"/>
    <n v="67818.240000000005"/>
  </r>
  <r>
    <x v="96"/>
    <s v="Ishita"/>
    <x v="4"/>
    <x v="0"/>
    <s v="West"/>
    <x v="2"/>
    <s v="Jacket"/>
    <n v="13"/>
    <n v="151.65"/>
    <n v="1971.45"/>
  </r>
  <r>
    <x v="158"/>
    <s v="Meera"/>
    <x v="4"/>
    <x v="0"/>
    <s v="West"/>
    <x v="0"/>
    <s v="Chair"/>
    <n v="11"/>
    <n v="4242.8999999999996"/>
    <n v="46671.9"/>
  </r>
  <r>
    <x v="105"/>
    <s v="Vihaan"/>
    <x v="10"/>
    <x v="3"/>
    <s v="West"/>
    <x v="3"/>
    <s v="Lentils"/>
    <n v="9"/>
    <n v="4639.93"/>
    <n v="41759.370000000003"/>
  </r>
  <r>
    <x v="286"/>
    <s v="Riya"/>
    <x v="3"/>
    <x v="1"/>
    <s v="South"/>
    <x v="2"/>
    <s v="Pants"/>
    <n v="4"/>
    <n v="4336.92"/>
    <n v="17347.68"/>
  </r>
  <r>
    <x v="54"/>
    <s v="Meera"/>
    <x v="8"/>
    <x v="4"/>
    <s v="North"/>
    <x v="0"/>
    <s v="Table"/>
    <n v="17"/>
    <n v="1005.44"/>
    <n v="17092.48"/>
  </r>
  <r>
    <x v="194"/>
    <s v="Vihaan"/>
    <x v="6"/>
    <x v="2"/>
    <s v="South"/>
    <x v="0"/>
    <s v="Sofa"/>
    <n v="18"/>
    <n v="2231.56"/>
    <n v="40168.080000000002"/>
  </r>
  <r>
    <x v="159"/>
    <s v="Meera"/>
    <x v="9"/>
    <x v="0"/>
    <s v="West"/>
    <x v="0"/>
    <s v="Bed"/>
    <n v="14"/>
    <n v="3677.67"/>
    <n v="51487.38"/>
  </r>
  <r>
    <x v="67"/>
    <s v="Nishant"/>
    <x v="3"/>
    <x v="1"/>
    <s v="South"/>
    <x v="4"/>
    <s v="Tablet"/>
    <n v="6"/>
    <n v="1047.72"/>
    <n v="6286.32"/>
  </r>
  <r>
    <x v="129"/>
    <s v="Vihaan"/>
    <x v="3"/>
    <x v="1"/>
    <s v="South"/>
    <x v="1"/>
    <s v="Notebook"/>
    <n v="20"/>
    <n v="827.08"/>
    <n v="16541.599999999999"/>
  </r>
  <r>
    <x v="308"/>
    <s v="Vihaan"/>
    <x v="12"/>
    <x v="2"/>
    <s v="South"/>
    <x v="1"/>
    <s v="Eraser"/>
    <n v="19"/>
    <n v="1726.65"/>
    <n v="32806.35"/>
  </r>
  <r>
    <x v="264"/>
    <s v="Ishita"/>
    <x v="2"/>
    <x v="2"/>
    <s v="South"/>
    <x v="1"/>
    <s v="Pen"/>
    <n v="17"/>
    <n v="2339.5700000000002"/>
    <n v="39772.69"/>
  </r>
  <r>
    <x v="336"/>
    <s v="Ishita"/>
    <x v="3"/>
    <x v="1"/>
    <s v="South"/>
    <x v="2"/>
    <s v="Pants"/>
    <n v="8"/>
    <n v="4984.96"/>
    <n v="39879.68"/>
  </r>
  <r>
    <x v="244"/>
    <s v="Kabir"/>
    <x v="11"/>
    <x v="4"/>
    <s v="North"/>
    <x v="4"/>
    <s v="Smartphone"/>
    <n v="17"/>
    <n v="3259.21"/>
    <n v="55406.57"/>
  </r>
  <r>
    <x v="186"/>
    <s v="Vihaan"/>
    <x v="1"/>
    <x v="1"/>
    <s v="South"/>
    <x v="0"/>
    <s v="Table"/>
    <n v="7"/>
    <n v="4847.62"/>
    <n v="33933.339999999997"/>
  </r>
  <r>
    <x v="337"/>
    <s v="Nishant"/>
    <x v="5"/>
    <x v="1"/>
    <s v="South"/>
    <x v="3"/>
    <s v="Rice"/>
    <n v="6"/>
    <n v="2260.16"/>
    <n v="13560.96"/>
  </r>
  <r>
    <x v="229"/>
    <s v="Aarav"/>
    <x v="13"/>
    <x v="4"/>
    <s v="North"/>
    <x v="0"/>
    <s v="Bed"/>
    <n v="16"/>
    <n v="1795.37"/>
    <n v="28725.919999999998"/>
  </r>
  <r>
    <x v="56"/>
    <s v="Aarav"/>
    <x v="14"/>
    <x v="3"/>
    <s v="West"/>
    <x v="4"/>
    <s v="Tablet"/>
    <n v="19"/>
    <n v="2040.79"/>
    <n v="38775.01"/>
  </r>
  <r>
    <x v="338"/>
    <s v="Ananya"/>
    <x v="12"/>
    <x v="2"/>
    <s v="South"/>
    <x v="0"/>
    <s v="Chair"/>
    <n v="13"/>
    <n v="1764.64"/>
    <n v="22940.32"/>
  </r>
  <r>
    <x v="325"/>
    <s v="Meera"/>
    <x v="1"/>
    <x v="1"/>
    <s v="South"/>
    <x v="3"/>
    <s v="Rice"/>
    <n v="6"/>
    <n v="746.23"/>
    <n v="4477.38"/>
  </r>
  <r>
    <x v="122"/>
    <s v="Nishant"/>
    <x v="13"/>
    <x v="4"/>
    <s v="North"/>
    <x v="0"/>
    <s v="Sofa"/>
    <n v="14"/>
    <n v="2385.9899999999998"/>
    <n v="33403.86"/>
  </r>
  <r>
    <x v="255"/>
    <s v="Meera"/>
    <x v="14"/>
    <x v="3"/>
    <s v="West"/>
    <x v="4"/>
    <s v="Headphones"/>
    <n v="1"/>
    <n v="2362.15"/>
    <n v="2362.15"/>
  </r>
  <r>
    <x v="60"/>
    <s v="Aarav"/>
    <x v="13"/>
    <x v="4"/>
    <s v="North"/>
    <x v="2"/>
    <s v="Pants"/>
    <n v="16"/>
    <n v="1236.8"/>
    <n v="19788.8"/>
  </r>
  <r>
    <x v="213"/>
    <s v="Aditi"/>
    <x v="13"/>
    <x v="4"/>
    <s v="North"/>
    <x v="4"/>
    <s v="Laptop"/>
    <n v="17"/>
    <n v="1248.03"/>
    <n v="21216.51"/>
  </r>
  <r>
    <x v="339"/>
    <s v="Ananya"/>
    <x v="11"/>
    <x v="4"/>
    <s v="North"/>
    <x v="1"/>
    <s v="Eraser"/>
    <n v="16"/>
    <n v="665.83"/>
    <n v="10653.28"/>
  </r>
  <r>
    <x v="27"/>
    <s v="Meera"/>
    <x v="9"/>
    <x v="0"/>
    <s v="West"/>
    <x v="4"/>
    <s v="Smartphone"/>
    <n v="16"/>
    <n v="615.70000000000005"/>
    <n v="9851.2000000000007"/>
  </r>
  <r>
    <x v="64"/>
    <s v="Riya"/>
    <x v="12"/>
    <x v="2"/>
    <s v="South"/>
    <x v="1"/>
    <s v="Notebook"/>
    <n v="13"/>
    <n v="3616.99"/>
    <n v="47020.87"/>
  </r>
  <r>
    <x v="293"/>
    <s v="Kabir"/>
    <x v="3"/>
    <x v="1"/>
    <s v="South"/>
    <x v="2"/>
    <s v="Pants"/>
    <n v="9"/>
    <n v="1940.11"/>
    <n v="17460.990000000002"/>
  </r>
  <r>
    <x v="54"/>
    <s v="Aryan"/>
    <x v="3"/>
    <x v="1"/>
    <s v="South"/>
    <x v="4"/>
    <s v="Laptop"/>
    <n v="16"/>
    <n v="1064.93"/>
    <n v="17038.88"/>
  </r>
  <r>
    <x v="118"/>
    <s v="Aryan"/>
    <x v="4"/>
    <x v="0"/>
    <s v="West"/>
    <x v="2"/>
    <s v="Jacket"/>
    <n v="2"/>
    <n v="4845.74"/>
    <n v="9691.48"/>
  </r>
  <r>
    <x v="186"/>
    <s v="Aditi"/>
    <x v="6"/>
    <x v="2"/>
    <s v="South"/>
    <x v="3"/>
    <s v="Oil"/>
    <n v="3"/>
    <n v="4766.28"/>
    <n v="14298.84"/>
  </r>
  <r>
    <x v="194"/>
    <s v="Vihaan"/>
    <x v="13"/>
    <x v="4"/>
    <s v="North"/>
    <x v="2"/>
    <s v="Jacket"/>
    <n v="15"/>
    <n v="3946.23"/>
    <n v="59193.45"/>
  </r>
  <r>
    <x v="104"/>
    <s v="Riya"/>
    <x v="7"/>
    <x v="3"/>
    <s v="West"/>
    <x v="2"/>
    <s v="Pants"/>
    <n v="12"/>
    <n v="1804.27"/>
    <n v="21651.24"/>
  </r>
  <r>
    <x v="340"/>
    <s v="Ishita"/>
    <x v="0"/>
    <x v="0"/>
    <s v="West"/>
    <x v="4"/>
    <s v="Headphones"/>
    <n v="3"/>
    <n v="2055.4499999999998"/>
    <n v="6166.35"/>
  </r>
  <r>
    <x v="231"/>
    <s v="Ishita"/>
    <x v="13"/>
    <x v="4"/>
    <s v="North"/>
    <x v="0"/>
    <s v="Bed"/>
    <n v="5"/>
    <n v="1568.68"/>
    <n v="7843.4"/>
  </r>
  <r>
    <x v="35"/>
    <s v="Aarav"/>
    <x v="6"/>
    <x v="2"/>
    <s v="South"/>
    <x v="0"/>
    <s v="Sofa"/>
    <n v="16"/>
    <n v="2288.6799999999998"/>
    <n v="36618.879999999997"/>
  </r>
  <r>
    <x v="216"/>
    <s v="Ananya"/>
    <x v="3"/>
    <x v="1"/>
    <s v="South"/>
    <x v="0"/>
    <s v="Chair"/>
    <n v="12"/>
    <n v="2133.0500000000002"/>
    <n v="25596.6"/>
  </r>
  <r>
    <x v="341"/>
    <s v="Ananya"/>
    <x v="9"/>
    <x v="0"/>
    <s v="West"/>
    <x v="3"/>
    <s v="Sugar"/>
    <n v="4"/>
    <n v="1208.42"/>
    <n v="4833.68"/>
  </r>
  <r>
    <x v="158"/>
    <s v="Ananya"/>
    <x v="8"/>
    <x v="4"/>
    <s v="North"/>
    <x v="1"/>
    <s v="Ruler"/>
    <n v="14"/>
    <n v="630.45000000000005"/>
    <n v="8826.2999999999993"/>
  </r>
  <r>
    <x v="187"/>
    <s v="Ishita"/>
    <x v="0"/>
    <x v="0"/>
    <s v="West"/>
    <x v="2"/>
    <s v="Dress"/>
    <n v="14"/>
    <n v="2713.47"/>
    <n v="37988.58"/>
  </r>
  <r>
    <x v="300"/>
    <s v="Meera"/>
    <x v="8"/>
    <x v="4"/>
    <s v="North"/>
    <x v="0"/>
    <s v="Chair"/>
    <n v="7"/>
    <n v="3273.61"/>
    <n v="22915.27"/>
  </r>
  <r>
    <x v="252"/>
    <s v="Ishita"/>
    <x v="9"/>
    <x v="0"/>
    <s v="West"/>
    <x v="2"/>
    <s v="Shirt"/>
    <n v="9"/>
    <n v="566.91999999999996"/>
    <n v="5102.28"/>
  </r>
  <r>
    <x v="294"/>
    <s v="Aryan"/>
    <x v="6"/>
    <x v="2"/>
    <s v="South"/>
    <x v="4"/>
    <s v="Laptop"/>
    <n v="2"/>
    <n v="3830.39"/>
    <n v="7660.78"/>
  </r>
  <r>
    <x v="326"/>
    <s v="Aditi"/>
    <x v="9"/>
    <x v="0"/>
    <s v="West"/>
    <x v="4"/>
    <s v="Smartphone"/>
    <n v="7"/>
    <n v="4456.5"/>
    <n v="31195.5"/>
  </r>
  <r>
    <x v="342"/>
    <s v="Meera"/>
    <x v="5"/>
    <x v="1"/>
    <s v="South"/>
    <x v="1"/>
    <s v="Pen"/>
    <n v="15"/>
    <n v="202.66"/>
    <n v="3039.9"/>
  </r>
  <r>
    <x v="54"/>
    <s v="Aryan"/>
    <x v="0"/>
    <x v="0"/>
    <s v="West"/>
    <x v="2"/>
    <s v="Pants"/>
    <n v="10"/>
    <n v="1018.19"/>
    <n v="10181.9"/>
  </r>
  <r>
    <x v="341"/>
    <s v="Meera"/>
    <x v="7"/>
    <x v="3"/>
    <s v="West"/>
    <x v="2"/>
    <s v="Pants"/>
    <n v="4"/>
    <n v="3300.36"/>
    <n v="13201.44"/>
  </r>
  <r>
    <x v="343"/>
    <s v="Vihaan"/>
    <x v="13"/>
    <x v="4"/>
    <s v="North"/>
    <x v="2"/>
    <s v="Pants"/>
    <n v="12"/>
    <n v="957.01"/>
    <n v="11484.12"/>
  </r>
  <r>
    <x v="96"/>
    <s v="Vihaan"/>
    <x v="5"/>
    <x v="1"/>
    <s v="South"/>
    <x v="3"/>
    <s v="Rice"/>
    <n v="19"/>
    <n v="1933.19"/>
    <n v="36730.61"/>
  </r>
  <r>
    <x v="283"/>
    <s v="Nishant"/>
    <x v="8"/>
    <x v="4"/>
    <s v="North"/>
    <x v="0"/>
    <s v="Chair"/>
    <n v="15"/>
    <n v="834.13"/>
    <n v="12511.95"/>
  </r>
  <r>
    <x v="65"/>
    <s v="Aarav"/>
    <x v="6"/>
    <x v="2"/>
    <s v="South"/>
    <x v="1"/>
    <s v="Pen"/>
    <n v="18"/>
    <n v="2535.8200000000002"/>
    <n v="45644.76"/>
  </r>
  <r>
    <x v="55"/>
    <s v="Vihaan"/>
    <x v="5"/>
    <x v="1"/>
    <s v="South"/>
    <x v="3"/>
    <s v="Oil"/>
    <n v="18"/>
    <n v="2299.9299999999998"/>
    <n v="41398.74"/>
  </r>
  <r>
    <x v="3"/>
    <s v="Aarav"/>
    <x v="7"/>
    <x v="3"/>
    <s v="West"/>
    <x v="0"/>
    <s v="Bed"/>
    <n v="5"/>
    <n v="606.49"/>
    <n v="3032.45"/>
  </r>
  <r>
    <x v="154"/>
    <s v="Ishita"/>
    <x v="12"/>
    <x v="2"/>
    <s v="South"/>
    <x v="1"/>
    <s v="Eraser"/>
    <n v="6"/>
    <n v="1919.03"/>
    <n v="11514.18"/>
  </r>
  <r>
    <x v="15"/>
    <s v="Meera"/>
    <x v="12"/>
    <x v="2"/>
    <s v="South"/>
    <x v="1"/>
    <s v="Pen"/>
    <n v="9"/>
    <n v="662.41"/>
    <n v="5961.69"/>
  </r>
  <r>
    <x v="100"/>
    <s v="Kabir"/>
    <x v="3"/>
    <x v="1"/>
    <s v="South"/>
    <x v="1"/>
    <s v="Notebook"/>
    <n v="18"/>
    <n v="970.52"/>
    <n v="17469.36"/>
  </r>
  <r>
    <x v="231"/>
    <s v="Ananya"/>
    <x v="13"/>
    <x v="4"/>
    <s v="North"/>
    <x v="4"/>
    <s v="Smartphone"/>
    <n v="2"/>
    <n v="4112.53"/>
    <n v="8225.06"/>
  </r>
  <r>
    <x v="244"/>
    <s v="Aarav"/>
    <x v="6"/>
    <x v="2"/>
    <s v="South"/>
    <x v="4"/>
    <s v="Smartphone"/>
    <n v="4"/>
    <n v="4968.93"/>
    <n v="19875.72"/>
  </r>
  <r>
    <x v="243"/>
    <s v="Riya"/>
    <x v="2"/>
    <x v="2"/>
    <s v="South"/>
    <x v="2"/>
    <s v="Shirt"/>
    <n v="2"/>
    <n v="339.56"/>
    <n v="679.12"/>
  </r>
  <r>
    <x v="285"/>
    <s v="Vihaan"/>
    <x v="6"/>
    <x v="2"/>
    <s v="South"/>
    <x v="1"/>
    <s v="Ruler"/>
    <n v="3"/>
    <n v="3853.05"/>
    <n v="11559.15"/>
  </r>
  <r>
    <x v="91"/>
    <s v="Nishant"/>
    <x v="8"/>
    <x v="4"/>
    <s v="North"/>
    <x v="2"/>
    <s v="Dress"/>
    <n v="11"/>
    <n v="2212.9"/>
    <n v="24341.9"/>
  </r>
  <r>
    <x v="216"/>
    <s v="Aryan"/>
    <x v="5"/>
    <x v="1"/>
    <s v="South"/>
    <x v="1"/>
    <s v="Notebook"/>
    <n v="18"/>
    <n v="509.79"/>
    <n v="9176.2199999999993"/>
  </r>
  <r>
    <x v="259"/>
    <s v="Kabir"/>
    <x v="2"/>
    <x v="2"/>
    <s v="South"/>
    <x v="0"/>
    <s v="Bed"/>
    <n v="16"/>
    <n v="2724.77"/>
    <n v="43596.32"/>
  </r>
  <r>
    <x v="335"/>
    <s v="Ananya"/>
    <x v="0"/>
    <x v="0"/>
    <s v="West"/>
    <x v="2"/>
    <s v="Pants"/>
    <n v="18"/>
    <n v="4718.22"/>
    <n v="84927.96"/>
  </r>
  <r>
    <x v="125"/>
    <s v="Ananya"/>
    <x v="3"/>
    <x v="1"/>
    <s v="South"/>
    <x v="4"/>
    <s v="Tablet"/>
    <n v="9"/>
    <n v="4811.76"/>
    <n v="43305.84"/>
  </r>
  <r>
    <x v="311"/>
    <s v="Meera"/>
    <x v="5"/>
    <x v="1"/>
    <s v="South"/>
    <x v="0"/>
    <s v="Chair"/>
    <n v="8"/>
    <n v="4021.86"/>
    <n v="32174.880000000001"/>
  </r>
  <r>
    <x v="201"/>
    <s v="Kabir"/>
    <x v="6"/>
    <x v="2"/>
    <s v="South"/>
    <x v="0"/>
    <s v="Bed"/>
    <n v="16"/>
    <n v="4008.72"/>
    <n v="64139.519999999997"/>
  </r>
  <r>
    <x v="155"/>
    <s v="Meera"/>
    <x v="10"/>
    <x v="3"/>
    <s v="West"/>
    <x v="0"/>
    <s v="Chair"/>
    <n v="14"/>
    <n v="4793.38"/>
    <n v="67107.320000000007"/>
  </r>
  <r>
    <x v="321"/>
    <s v="Aarav"/>
    <x v="11"/>
    <x v="4"/>
    <s v="North"/>
    <x v="0"/>
    <s v="Sofa"/>
    <n v="14"/>
    <n v="4816.3900000000003"/>
    <n v="67429.460000000006"/>
  </r>
  <r>
    <x v="74"/>
    <s v="Ishita"/>
    <x v="14"/>
    <x v="3"/>
    <s v="West"/>
    <x v="0"/>
    <s v="Table"/>
    <n v="6"/>
    <n v="4072.51"/>
    <n v="24435.06"/>
  </r>
  <r>
    <x v="241"/>
    <s v="Riya"/>
    <x v="4"/>
    <x v="0"/>
    <s v="West"/>
    <x v="3"/>
    <s v="Oil"/>
    <n v="2"/>
    <n v="1269.81"/>
    <n v="2539.62"/>
  </r>
  <r>
    <x v="187"/>
    <s v="Aryan"/>
    <x v="14"/>
    <x v="3"/>
    <s v="West"/>
    <x v="3"/>
    <s v="Sugar"/>
    <n v="13"/>
    <n v="3071.93"/>
    <n v="39935.089999999997"/>
  </r>
  <r>
    <x v="106"/>
    <s v="Aditi"/>
    <x v="7"/>
    <x v="3"/>
    <s v="West"/>
    <x v="2"/>
    <s v="Dress"/>
    <n v="5"/>
    <n v="4686.67"/>
    <n v="23433.35"/>
  </r>
  <r>
    <x v="57"/>
    <s v="Kabir"/>
    <x v="0"/>
    <x v="0"/>
    <s v="West"/>
    <x v="0"/>
    <s v="Sofa"/>
    <n v="5"/>
    <n v="4504.17"/>
    <n v="22520.85"/>
  </r>
  <r>
    <x v="73"/>
    <s v="Meera"/>
    <x v="2"/>
    <x v="2"/>
    <s v="South"/>
    <x v="0"/>
    <s v="Table"/>
    <n v="3"/>
    <n v="559.70000000000005"/>
    <n v="1679.1"/>
  </r>
  <r>
    <x v="182"/>
    <s v="Nishant"/>
    <x v="6"/>
    <x v="2"/>
    <s v="South"/>
    <x v="3"/>
    <s v="Rice"/>
    <n v="17"/>
    <n v="1975.71"/>
    <n v="33587.07"/>
  </r>
  <r>
    <x v="205"/>
    <s v="Aditi"/>
    <x v="11"/>
    <x v="4"/>
    <s v="North"/>
    <x v="0"/>
    <s v="Table"/>
    <n v="8"/>
    <n v="4175.5600000000004"/>
    <n v="33404.480000000003"/>
  </r>
  <r>
    <x v="101"/>
    <s v="Meera"/>
    <x v="6"/>
    <x v="2"/>
    <s v="South"/>
    <x v="4"/>
    <s v="Smartphone"/>
    <n v="14"/>
    <n v="2535.08"/>
    <n v="35491.120000000003"/>
  </r>
  <r>
    <x v="143"/>
    <s v="Ishita"/>
    <x v="5"/>
    <x v="1"/>
    <s v="South"/>
    <x v="4"/>
    <s v="Headphones"/>
    <n v="14"/>
    <n v="2161.65"/>
    <n v="30263.1"/>
  </r>
  <r>
    <x v="288"/>
    <s v="Ishita"/>
    <x v="11"/>
    <x v="4"/>
    <s v="North"/>
    <x v="4"/>
    <s v="Tablet"/>
    <n v="11"/>
    <n v="3424.45"/>
    <n v="37668.949999999997"/>
  </r>
  <r>
    <x v="344"/>
    <s v="Riya"/>
    <x v="14"/>
    <x v="3"/>
    <s v="West"/>
    <x v="3"/>
    <s v="Lentils"/>
    <n v="10"/>
    <n v="1167.21"/>
    <n v="11672.1"/>
  </r>
  <r>
    <x v="102"/>
    <s v="Aryan"/>
    <x v="14"/>
    <x v="3"/>
    <s v="West"/>
    <x v="1"/>
    <s v="Ruler"/>
    <n v="7"/>
    <n v="500.63"/>
    <n v="3504.41"/>
  </r>
  <r>
    <x v="121"/>
    <s v="Aarav"/>
    <x v="8"/>
    <x v="4"/>
    <s v="North"/>
    <x v="0"/>
    <s v="Chair"/>
    <n v="10"/>
    <n v="1050.8399999999999"/>
    <n v="10508.4"/>
  </r>
  <r>
    <x v="186"/>
    <s v="Kabir"/>
    <x v="12"/>
    <x v="2"/>
    <s v="South"/>
    <x v="0"/>
    <s v="Sofa"/>
    <n v="14"/>
    <n v="3726.3"/>
    <n v="52168.2"/>
  </r>
  <r>
    <x v="3"/>
    <s v="Aditi"/>
    <x v="5"/>
    <x v="1"/>
    <s v="South"/>
    <x v="2"/>
    <s v="Pants"/>
    <n v="10"/>
    <n v="651.83000000000004"/>
    <n v="6518.3"/>
  </r>
  <r>
    <x v="246"/>
    <s v="Riya"/>
    <x v="9"/>
    <x v="0"/>
    <s v="West"/>
    <x v="0"/>
    <s v="Chair"/>
    <n v="4"/>
    <n v="1077.23"/>
    <n v="4308.92"/>
  </r>
  <r>
    <x v="88"/>
    <s v="Kabir"/>
    <x v="8"/>
    <x v="4"/>
    <s v="North"/>
    <x v="4"/>
    <s v="Laptop"/>
    <n v="15"/>
    <n v="4554.78"/>
    <n v="68321.7"/>
  </r>
  <r>
    <x v="59"/>
    <s v="Ishita"/>
    <x v="10"/>
    <x v="3"/>
    <s v="West"/>
    <x v="1"/>
    <s v="Pen"/>
    <n v="19"/>
    <n v="1003.13"/>
    <n v="19059.47"/>
  </r>
  <r>
    <x v="345"/>
    <s v="Meera"/>
    <x v="12"/>
    <x v="2"/>
    <s v="South"/>
    <x v="3"/>
    <s v="Rice"/>
    <n v="7"/>
    <n v="3168.77"/>
    <n v="22181.39"/>
  </r>
  <r>
    <x v="169"/>
    <s v="Ishita"/>
    <x v="8"/>
    <x v="4"/>
    <s v="North"/>
    <x v="1"/>
    <s v="Eraser"/>
    <n v="19"/>
    <n v="4528.95"/>
    <n v="86050.05"/>
  </r>
  <r>
    <x v="238"/>
    <s v="Nishant"/>
    <x v="12"/>
    <x v="2"/>
    <s v="South"/>
    <x v="4"/>
    <s v="Laptop"/>
    <n v="5"/>
    <n v="2480.84"/>
    <n v="12404.2"/>
  </r>
  <r>
    <x v="135"/>
    <s v="Aryan"/>
    <x v="13"/>
    <x v="4"/>
    <s v="North"/>
    <x v="2"/>
    <s v="Jacket"/>
    <n v="11"/>
    <n v="4740.79"/>
    <n v="52148.69"/>
  </r>
  <r>
    <x v="72"/>
    <s v="Aarav"/>
    <x v="13"/>
    <x v="4"/>
    <s v="North"/>
    <x v="3"/>
    <s v="Lentils"/>
    <n v="16"/>
    <n v="2687.77"/>
    <n v="43004.32"/>
  </r>
  <r>
    <x v="36"/>
    <s v="Ishita"/>
    <x v="3"/>
    <x v="1"/>
    <s v="South"/>
    <x v="3"/>
    <s v="Rice"/>
    <n v="15"/>
    <n v="2472.8000000000002"/>
    <n v="37092"/>
  </r>
  <r>
    <x v="9"/>
    <s v="Kabir"/>
    <x v="13"/>
    <x v="4"/>
    <s v="North"/>
    <x v="0"/>
    <s v="Table"/>
    <n v="3"/>
    <n v="3814.12"/>
    <n v="11442.36"/>
  </r>
  <r>
    <x v="263"/>
    <s v="Kabir"/>
    <x v="7"/>
    <x v="3"/>
    <s v="West"/>
    <x v="0"/>
    <s v="Bed"/>
    <n v="1"/>
    <n v="2333.7800000000002"/>
    <n v="2333.7800000000002"/>
  </r>
  <r>
    <x v="201"/>
    <s v="Aditi"/>
    <x v="0"/>
    <x v="0"/>
    <s v="West"/>
    <x v="3"/>
    <s v="Lentils"/>
    <n v="10"/>
    <n v="2628.56"/>
    <n v="26285.599999999999"/>
  </r>
  <r>
    <x v="312"/>
    <s v="Nishant"/>
    <x v="3"/>
    <x v="1"/>
    <s v="South"/>
    <x v="4"/>
    <s v="Headphones"/>
    <n v="16"/>
    <n v="284.02"/>
    <n v="4544.32"/>
  </r>
  <r>
    <x v="26"/>
    <s v="Riya"/>
    <x v="2"/>
    <x v="2"/>
    <s v="South"/>
    <x v="3"/>
    <s v="Rice"/>
    <n v="8"/>
    <n v="1011.67"/>
    <n v="8093.36"/>
  </r>
  <r>
    <x v="235"/>
    <s v="Aryan"/>
    <x v="11"/>
    <x v="4"/>
    <s v="North"/>
    <x v="3"/>
    <s v="Sugar"/>
    <n v="6"/>
    <n v="3918.07"/>
    <n v="23508.42"/>
  </r>
  <r>
    <x v="340"/>
    <s v="Riya"/>
    <x v="6"/>
    <x v="2"/>
    <s v="South"/>
    <x v="2"/>
    <s v="Shirt"/>
    <n v="2"/>
    <n v="3313.63"/>
    <n v="6627.26"/>
  </r>
  <r>
    <x v="280"/>
    <s v="Ananya"/>
    <x v="1"/>
    <x v="1"/>
    <s v="South"/>
    <x v="2"/>
    <s v="Pants"/>
    <n v="18"/>
    <n v="809.24"/>
    <n v="14566.32"/>
  </r>
  <r>
    <x v="262"/>
    <s v="Nishant"/>
    <x v="8"/>
    <x v="4"/>
    <s v="North"/>
    <x v="3"/>
    <s v="Oil"/>
    <n v="2"/>
    <n v="2338.61"/>
    <n v="4677.22"/>
  </r>
  <r>
    <x v="346"/>
    <s v="Kabir"/>
    <x v="12"/>
    <x v="2"/>
    <s v="South"/>
    <x v="3"/>
    <s v="Oil"/>
    <n v="18"/>
    <n v="2773.93"/>
    <n v="49930.74"/>
  </r>
  <r>
    <x v="199"/>
    <s v="Aditi"/>
    <x v="9"/>
    <x v="0"/>
    <s v="West"/>
    <x v="3"/>
    <s v="Sugar"/>
    <n v="15"/>
    <n v="2540.06"/>
    <n v="38100.9"/>
  </r>
  <r>
    <x v="59"/>
    <s v="Meera"/>
    <x v="11"/>
    <x v="4"/>
    <s v="North"/>
    <x v="2"/>
    <s v="Dress"/>
    <n v="4"/>
    <n v="1178.71"/>
    <n v="4714.84"/>
  </r>
  <r>
    <x v="297"/>
    <s v="Aryan"/>
    <x v="1"/>
    <x v="1"/>
    <s v="South"/>
    <x v="3"/>
    <s v="Lentils"/>
    <n v="4"/>
    <n v="4724.33"/>
    <n v="18897.32"/>
  </r>
  <r>
    <x v="325"/>
    <s v="Aryan"/>
    <x v="13"/>
    <x v="4"/>
    <s v="North"/>
    <x v="4"/>
    <s v="Smartphone"/>
    <n v="7"/>
    <n v="3481"/>
    <n v="24367"/>
  </r>
  <r>
    <x v="245"/>
    <s v="Kabir"/>
    <x v="7"/>
    <x v="3"/>
    <s v="West"/>
    <x v="0"/>
    <s v="Table"/>
    <n v="16"/>
    <n v="4608.55"/>
    <n v="73736.800000000003"/>
  </r>
  <r>
    <x v="128"/>
    <s v="Ananya"/>
    <x v="9"/>
    <x v="0"/>
    <s v="West"/>
    <x v="4"/>
    <s v="Tablet"/>
    <n v="10"/>
    <n v="2336.88"/>
    <n v="23368.799999999999"/>
  </r>
  <r>
    <x v="52"/>
    <s v="Meera"/>
    <x v="5"/>
    <x v="1"/>
    <s v="South"/>
    <x v="1"/>
    <s v="Notebook"/>
    <n v="1"/>
    <n v="2993.55"/>
    <n v="2993.55"/>
  </r>
  <r>
    <x v="217"/>
    <s v="Riya"/>
    <x v="3"/>
    <x v="1"/>
    <s v="South"/>
    <x v="2"/>
    <s v="Shirt"/>
    <n v="19"/>
    <n v="4080.77"/>
    <n v="77534.63"/>
  </r>
  <r>
    <x v="320"/>
    <s v="Vihaan"/>
    <x v="12"/>
    <x v="2"/>
    <s v="South"/>
    <x v="2"/>
    <s v="Jacket"/>
    <n v="4"/>
    <n v="3659.61"/>
    <n v="14638.44"/>
  </r>
  <r>
    <x v="70"/>
    <s v="Ishita"/>
    <x v="13"/>
    <x v="4"/>
    <s v="North"/>
    <x v="2"/>
    <s v="Jacket"/>
    <n v="12"/>
    <n v="1819.46"/>
    <n v="21833.52"/>
  </r>
  <r>
    <x v="279"/>
    <s v="Aditi"/>
    <x v="5"/>
    <x v="1"/>
    <s v="South"/>
    <x v="4"/>
    <s v="Smartphone"/>
    <n v="13"/>
    <n v="3520.87"/>
    <n v="45771.31"/>
  </r>
  <r>
    <x v="226"/>
    <s v="Riya"/>
    <x v="1"/>
    <x v="1"/>
    <s v="South"/>
    <x v="3"/>
    <s v="Oil"/>
    <n v="14"/>
    <n v="4532.88"/>
    <n v="63460.32"/>
  </r>
  <r>
    <x v="12"/>
    <s v="Ishita"/>
    <x v="0"/>
    <x v="0"/>
    <s v="West"/>
    <x v="0"/>
    <s v="Bed"/>
    <n v="6"/>
    <n v="1709.52"/>
    <n v="10257.120000000001"/>
  </r>
  <r>
    <x v="76"/>
    <s v="Kabir"/>
    <x v="2"/>
    <x v="2"/>
    <s v="South"/>
    <x v="2"/>
    <s v="Dress"/>
    <n v="10"/>
    <n v="3803.22"/>
    <n v="38032.199999999997"/>
  </r>
  <r>
    <x v="144"/>
    <s v="Ananya"/>
    <x v="2"/>
    <x v="2"/>
    <s v="South"/>
    <x v="1"/>
    <s v="Notebook"/>
    <n v="15"/>
    <n v="1853"/>
    <n v="27795"/>
  </r>
  <r>
    <x v="42"/>
    <s v="Kabir"/>
    <x v="4"/>
    <x v="0"/>
    <s v="West"/>
    <x v="2"/>
    <s v="Pants"/>
    <n v="2"/>
    <n v="2623.43"/>
    <n v="5246.86"/>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200000000000001"/>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399999999999999"/>
  </r>
  <r>
    <s v="Mum-TCL005"/>
    <x v="4"/>
    <x v="4"/>
    <n v="35"/>
    <n v="54"/>
    <n v="49"/>
    <n v="26"/>
    <n v="49"/>
    <n v="213"/>
    <n v="500"/>
    <n v="0.42599999999999999"/>
    <n v="0.57399999999999995"/>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
  </r>
  <r>
    <s v="Mum-TCL009"/>
    <x v="8"/>
    <x v="0"/>
    <n v="54"/>
    <n v="26"/>
    <n v="53"/>
    <n v="36"/>
    <n v="20"/>
    <n v="189"/>
    <n v="500"/>
    <n v="0.378"/>
    <n v="0.622"/>
  </r>
  <r>
    <s v="Mum-TCL010"/>
    <x v="9"/>
    <x v="1"/>
    <n v="52"/>
    <n v="52"/>
    <n v="19"/>
    <n v="53"/>
    <n v="37"/>
    <n v="213"/>
    <n v="500"/>
    <n v="0.42599999999999999"/>
    <n v="0.57399999999999995"/>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600000000000002"/>
  </r>
  <r>
    <s v="Mum-TCL014"/>
    <x v="13"/>
    <x v="5"/>
    <n v="83"/>
    <n v="77"/>
    <n v="66"/>
    <n v="22"/>
    <n v="40"/>
    <n v="288"/>
    <n v="500"/>
    <n v="0.57599999999999996"/>
    <n v="0.42399999999999999"/>
  </r>
  <r>
    <s v="Mum-TCL015"/>
    <x v="14"/>
    <x v="6"/>
    <n v="78"/>
    <n v="58"/>
    <n v="34"/>
    <n v="84"/>
    <n v="31"/>
    <n v="285"/>
    <n v="500"/>
    <n v="0.56999999999999995"/>
    <n v="0.43"/>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799999999999998"/>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
  </r>
  <r>
    <s v="Mum-TCL026"/>
    <x v="25"/>
    <x v="1"/>
    <n v="16"/>
    <n v="71"/>
    <n v="80"/>
    <n v="76"/>
    <n v="33"/>
    <n v="276"/>
    <n v="500"/>
    <n v="0.55200000000000005"/>
    <n v="0.44800000000000001"/>
  </r>
  <r>
    <s v="Mum-TCL027"/>
    <x v="26"/>
    <x v="2"/>
    <n v="72"/>
    <n v="87"/>
    <n v="92"/>
    <n v="72"/>
    <n v="34"/>
    <n v="357"/>
    <n v="500"/>
    <n v="0.71399999999999997"/>
    <n v="0.28599999999999998"/>
  </r>
  <r>
    <s v="Mum-TCL028"/>
    <x v="27"/>
    <x v="3"/>
    <n v="30"/>
    <n v="38"/>
    <n v="70"/>
    <n v="89"/>
    <n v="97"/>
    <n v="324"/>
    <n v="500"/>
    <n v="0.64800000000000002"/>
    <n v="0.35199999999999998"/>
  </r>
  <r>
    <s v="Mum-TCL029"/>
    <x v="28"/>
    <x v="4"/>
    <n v="65"/>
    <n v="90"/>
    <n v="91"/>
    <n v="85"/>
    <n v="10"/>
    <n v="341"/>
    <n v="500"/>
    <n v="0.68200000000000005"/>
    <n v="0.318"/>
  </r>
  <r>
    <s v="Mum-TCL030"/>
    <x v="29"/>
    <x v="5"/>
    <n v="83"/>
    <n v="46"/>
    <n v="99"/>
    <n v="36"/>
    <n v="89"/>
    <n v="353"/>
    <n v="500"/>
    <n v="0.70599999999999996"/>
    <n v="0.29399999999999998"/>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600000000000002"/>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199999999999995"/>
  </r>
  <r>
    <s v="Mum-TCL037"/>
    <x v="36"/>
    <x v="4"/>
    <n v="91"/>
    <n v="13"/>
    <n v="79"/>
    <n v="85"/>
    <n v="67"/>
    <n v="335"/>
    <n v="500"/>
    <n v="0.67"/>
    <n v="0.33"/>
  </r>
  <r>
    <s v="Mum-TCL038"/>
    <x v="37"/>
    <x v="5"/>
    <n v="66"/>
    <n v="59"/>
    <n v="25"/>
    <n v="55"/>
    <n v="59"/>
    <n v="264"/>
    <n v="500"/>
    <n v="0.52800000000000002"/>
    <n v="0.47199999999999998"/>
  </r>
  <r>
    <s v="Mum-TCL039"/>
    <x v="38"/>
    <x v="6"/>
    <n v="70"/>
    <n v="18"/>
    <n v="88"/>
    <n v="46"/>
    <n v="52"/>
    <n v="274"/>
    <n v="500"/>
    <n v="0.54800000000000004"/>
    <n v="0.45200000000000001"/>
  </r>
  <r>
    <s v="Mum-TCL040"/>
    <x v="39"/>
    <x v="7"/>
    <n v="37"/>
    <n v="60"/>
    <n v="44"/>
    <n v="61"/>
    <n v="30"/>
    <n v="232"/>
    <n v="500"/>
    <n v="0.46400000000000002"/>
    <n v="0.53600000000000003"/>
  </r>
  <r>
    <s v="Mum-TCL041"/>
    <x v="40"/>
    <x v="0"/>
    <n v="16"/>
    <n v="46"/>
    <n v="33"/>
    <n v="54"/>
    <n v="58"/>
    <n v="207"/>
    <n v="500"/>
    <n v="0.41399999999999998"/>
    <n v="0.58599999999999997"/>
  </r>
  <r>
    <s v="Mum-TCL042"/>
    <x v="41"/>
    <x v="1"/>
    <n v="47"/>
    <n v="97"/>
    <n v="74"/>
    <n v="97"/>
    <n v="56"/>
    <n v="371"/>
    <n v="500"/>
    <n v="0.74199999999999999"/>
    <n v="0.25800000000000001"/>
  </r>
  <r>
    <s v="Mum-TCL043"/>
    <x v="42"/>
    <x v="2"/>
    <n v="86"/>
    <n v="22"/>
    <n v="10"/>
    <n v="60"/>
    <n v="28"/>
    <n v="206"/>
    <n v="500"/>
    <n v="0.41199999999999998"/>
    <n v="0.58799999999999997"/>
  </r>
  <r>
    <s v="Mum-TCL044"/>
    <x v="43"/>
    <x v="3"/>
    <n v="74"/>
    <n v="17"/>
    <n v="45"/>
    <n v="64"/>
    <n v="13"/>
    <n v="213"/>
    <n v="500"/>
    <n v="0.42599999999999999"/>
    <n v="0.57399999999999995"/>
  </r>
  <r>
    <s v="Mum-TCL045"/>
    <x v="44"/>
    <x v="4"/>
    <n v="80"/>
    <n v="51"/>
    <n v="15"/>
    <n v="97"/>
    <n v="42"/>
    <n v="285"/>
    <n v="500"/>
    <n v="0.56999999999999995"/>
    <n v="0.43"/>
  </r>
  <r>
    <s v="Mum-TCL046"/>
    <x v="45"/>
    <x v="5"/>
    <n v="49"/>
    <n v="82"/>
    <n v="95"/>
    <n v="46"/>
    <n v="78"/>
    <n v="350"/>
    <n v="500"/>
    <n v="0.7"/>
    <n v="0.3"/>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599999999999998"/>
  </r>
  <r>
    <s v="Mum-TCL050"/>
    <x v="49"/>
    <x v="1"/>
    <n v="17"/>
    <n v="84"/>
    <n v="90"/>
    <n v="77"/>
    <n v="72"/>
    <n v="340"/>
    <n v="500"/>
    <n v="0.68"/>
    <n v="0.32"/>
  </r>
  <r>
    <s v="Mum-TCL051"/>
    <x v="50"/>
    <x v="2"/>
    <n v="52"/>
    <n v="36"/>
    <n v="84"/>
    <n v="41"/>
    <n v="57"/>
    <n v="270"/>
    <n v="500"/>
    <n v="0.54"/>
    <n v="0.4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
  </r>
  <r>
    <s v="Mum-TCL058"/>
    <x v="57"/>
    <x v="1"/>
    <n v="34"/>
    <n v="97"/>
    <n v="66"/>
    <n v="45"/>
    <n v="50"/>
    <n v="292"/>
    <n v="500"/>
    <n v="0.58399999999999996"/>
    <n v="0.41599999999999998"/>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599999999999995"/>
  </r>
  <r>
    <s v="Mum-TCL062"/>
    <x v="61"/>
    <x v="5"/>
    <n v="44"/>
    <n v="60"/>
    <n v="71"/>
    <n v="34"/>
    <n v="37"/>
    <n v="246"/>
    <n v="500"/>
    <n v="0.49199999999999999"/>
    <n v="0.50800000000000001"/>
  </r>
  <r>
    <s v="Mum-TCL063"/>
    <x v="62"/>
    <x v="6"/>
    <n v="43"/>
    <n v="78"/>
    <n v="15"/>
    <n v="98"/>
    <n v="33"/>
    <n v="267"/>
    <n v="500"/>
    <n v="0.53400000000000003"/>
    <n v="0.46600000000000003"/>
  </r>
  <r>
    <s v="Mum-TCL064"/>
    <x v="63"/>
    <x v="7"/>
    <n v="75"/>
    <n v="75"/>
    <n v="89"/>
    <n v="97"/>
    <n v="49"/>
    <n v="385"/>
    <n v="500"/>
    <n v="0.77"/>
    <n v="0.23"/>
  </r>
  <r>
    <s v="Mum-TCL065"/>
    <x v="64"/>
    <x v="0"/>
    <n v="74"/>
    <n v="51"/>
    <n v="97"/>
    <n v="73"/>
    <n v="33"/>
    <n v="328"/>
    <n v="500"/>
    <n v="0.65600000000000003"/>
    <n v="0.34399999999999997"/>
  </r>
  <r>
    <s v="Mum-TCL066"/>
    <x v="65"/>
    <x v="1"/>
    <n v="44"/>
    <n v="36"/>
    <n v="11"/>
    <n v="45"/>
    <n v="30"/>
    <n v="166"/>
    <n v="500"/>
    <n v="0.33200000000000002"/>
    <n v="0.66800000000000004"/>
  </r>
  <r>
    <s v="Mum-TCL067"/>
    <x v="66"/>
    <x v="2"/>
    <n v="87"/>
    <n v="79"/>
    <n v="46"/>
    <n v="65"/>
    <n v="65"/>
    <n v="342"/>
    <n v="500"/>
    <n v="0.68400000000000005"/>
    <n v="0.316"/>
  </r>
  <r>
    <s v="Mum-TCL068"/>
    <x v="67"/>
    <x v="3"/>
    <n v="70"/>
    <n v="52"/>
    <n v="80"/>
    <n v="43"/>
    <n v="48"/>
    <n v="293"/>
    <n v="500"/>
    <n v="0.58599999999999997"/>
    <n v="0.41399999999999998"/>
  </r>
  <r>
    <s v="Mum-TCL069"/>
    <x v="68"/>
    <x v="4"/>
    <n v="45"/>
    <n v="26"/>
    <n v="27"/>
    <n v="14"/>
    <n v="59"/>
    <n v="171"/>
    <n v="500"/>
    <n v="0.34200000000000003"/>
    <n v="0.65800000000000003"/>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399999999999996"/>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599999999999999"/>
  </r>
  <r>
    <s v="Mum-TCL077"/>
    <x v="76"/>
    <x v="4"/>
    <n v="98"/>
    <n v="15"/>
    <n v="72"/>
    <n v="67"/>
    <n v="34"/>
    <n v="286"/>
    <n v="500"/>
    <n v="0.57199999999999995"/>
    <n v="0.42799999999999999"/>
  </r>
  <r>
    <s v="Mum-TCL078"/>
    <x v="77"/>
    <x v="5"/>
    <n v="50"/>
    <n v="44"/>
    <n v="46"/>
    <n v="13"/>
    <n v="92"/>
    <n v="245"/>
    <n v="500"/>
    <n v="0.49"/>
    <n v="0.51"/>
  </r>
  <r>
    <s v="Mum-TCL079"/>
    <x v="78"/>
    <x v="6"/>
    <n v="40"/>
    <n v="82"/>
    <n v="72"/>
    <n v="42"/>
    <n v="45"/>
    <n v="281"/>
    <n v="500"/>
    <n v="0.56200000000000006"/>
    <n v="0.438"/>
  </r>
  <r>
    <s v="Mum-TCL080"/>
    <x v="79"/>
    <x v="7"/>
    <n v="23"/>
    <n v="83"/>
    <n v="63"/>
    <n v="65"/>
    <n v="83"/>
    <n v="317"/>
    <n v="500"/>
    <n v="0.63400000000000001"/>
    <n v="0.36599999999999999"/>
  </r>
  <r>
    <s v="Mum-TCL081"/>
    <x v="80"/>
    <x v="0"/>
    <n v="71"/>
    <n v="94"/>
    <n v="45"/>
    <n v="95"/>
    <n v="46"/>
    <n v="351"/>
    <n v="500"/>
    <n v="0.70199999999999996"/>
    <n v="0.29799999999999999"/>
  </r>
  <r>
    <s v="Mum-TCL082"/>
    <x v="81"/>
    <x v="1"/>
    <n v="48"/>
    <n v="49"/>
    <n v="68"/>
    <n v="23"/>
    <n v="21"/>
    <n v="209"/>
    <n v="500"/>
    <n v="0.41799999999999998"/>
    <n v="0.58199999999999996"/>
  </r>
  <r>
    <s v="Mum-TCL083"/>
    <x v="82"/>
    <x v="2"/>
    <n v="77"/>
    <n v="83"/>
    <n v="64"/>
    <n v="53"/>
    <n v="13"/>
    <n v="290"/>
    <n v="500"/>
    <n v="0.57999999999999996"/>
    <n v="0.42"/>
  </r>
  <r>
    <s v="Mum-TCL084"/>
    <x v="83"/>
    <x v="3"/>
    <n v="81"/>
    <n v="63"/>
    <n v="88"/>
    <n v="89"/>
    <n v="63"/>
    <n v="384"/>
    <n v="500"/>
    <n v="0.76800000000000002"/>
    <n v="0.23200000000000001"/>
  </r>
  <r>
    <s v="Mum-TCL085"/>
    <x v="84"/>
    <x v="4"/>
    <n v="39"/>
    <n v="87"/>
    <n v="62"/>
    <n v="80"/>
    <n v="81"/>
    <n v="349"/>
    <n v="500"/>
    <n v="0.69799999999999995"/>
    <n v="0.30199999999999999"/>
  </r>
  <r>
    <s v="Mum-TCL086"/>
    <x v="85"/>
    <x v="5"/>
    <n v="46"/>
    <n v="19"/>
    <n v="59"/>
    <n v="58"/>
    <n v="33"/>
    <n v="215"/>
    <n v="500"/>
    <n v="0.43"/>
    <n v="0.56999999999999995"/>
  </r>
  <r>
    <s v="Mum-TCL087"/>
    <x v="86"/>
    <x v="6"/>
    <n v="34"/>
    <n v="15"/>
    <n v="43"/>
    <n v="63"/>
    <n v="54"/>
    <n v="209"/>
    <n v="500"/>
    <n v="0.41799999999999998"/>
    <n v="0.58199999999999996"/>
  </r>
  <r>
    <s v="Mum-TCL088"/>
    <x v="87"/>
    <x v="7"/>
    <n v="32"/>
    <n v="79"/>
    <n v="65"/>
    <n v="57"/>
    <n v="73"/>
    <n v="306"/>
    <n v="500"/>
    <n v="0.61199999999999999"/>
    <n v="0.38800000000000001"/>
  </r>
  <r>
    <s v="Mum-TCL089"/>
    <x v="88"/>
    <x v="0"/>
    <n v="72"/>
    <n v="82"/>
    <n v="58"/>
    <n v="36"/>
    <n v="33"/>
    <n v="281"/>
    <n v="500"/>
    <n v="0.56200000000000006"/>
    <n v="0.438"/>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8"/>
  </r>
  <r>
    <s v="Mum-TCL093"/>
    <x v="92"/>
    <x v="4"/>
    <n v="18"/>
    <n v="80"/>
    <n v="20"/>
    <n v="32"/>
    <n v="95"/>
    <n v="245"/>
    <n v="500"/>
    <n v="0.49"/>
    <n v="0.51"/>
  </r>
  <r>
    <s v="Mum-TCL094"/>
    <x v="93"/>
    <x v="5"/>
    <n v="96"/>
    <n v="14"/>
    <n v="20"/>
    <n v="31"/>
    <n v="44"/>
    <n v="205"/>
    <n v="500"/>
    <n v="0.41"/>
    <n v="0.59"/>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799999999999999"/>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400000000000002"/>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799999999999999"/>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799999999999996"/>
  </r>
  <r>
    <s v="Mum-TCL109"/>
    <x v="108"/>
    <x v="4"/>
    <n v="24"/>
    <n v="31"/>
    <n v="41"/>
    <n v="57"/>
    <n v="83"/>
    <n v="236"/>
    <n v="500"/>
    <n v="0.47199999999999998"/>
    <n v="0.52800000000000002"/>
  </r>
  <r>
    <s v="Mum-TCL110"/>
    <x v="109"/>
    <x v="5"/>
    <n v="83"/>
    <n v="62"/>
    <n v="32"/>
    <n v="83"/>
    <n v="95"/>
    <n v="355"/>
    <n v="500"/>
    <n v="0.71"/>
    <n v="0.28999999999999998"/>
  </r>
  <r>
    <s v="Mum-TCL111"/>
    <x v="110"/>
    <x v="6"/>
    <n v="39"/>
    <n v="52"/>
    <n v="72"/>
    <n v="99"/>
    <n v="58"/>
    <n v="320"/>
    <n v="500"/>
    <n v="0.64"/>
    <n v="0.36"/>
  </r>
  <r>
    <s v="Mum-TCL112"/>
    <x v="111"/>
    <x v="7"/>
    <n v="93"/>
    <n v="74"/>
    <n v="85"/>
    <n v="47"/>
    <n v="90"/>
    <n v="389"/>
    <n v="500"/>
    <n v="0.77800000000000002"/>
    <n v="0.222"/>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199999999999995"/>
  </r>
  <r>
    <s v="Mum-TCL116"/>
    <x v="115"/>
    <x v="3"/>
    <n v="71"/>
    <n v="42"/>
    <n v="17"/>
    <n v="57"/>
    <n v="96"/>
    <n v="283"/>
    <n v="500"/>
    <n v="0.56599999999999995"/>
    <n v="0.434"/>
  </r>
  <r>
    <s v="Mum-TCL117"/>
    <x v="116"/>
    <x v="4"/>
    <n v="26"/>
    <n v="65"/>
    <n v="17"/>
    <n v="28"/>
    <n v="30"/>
    <n v="166"/>
    <n v="500"/>
    <n v="0.33200000000000002"/>
    <n v="0.66800000000000004"/>
  </r>
  <r>
    <s v="Mum-TCL118"/>
    <x v="117"/>
    <x v="5"/>
    <n v="26"/>
    <n v="61"/>
    <n v="89"/>
    <n v="71"/>
    <n v="33"/>
    <n v="280"/>
    <n v="500"/>
    <n v="0.56000000000000005"/>
    <n v="0.44"/>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400000000000001"/>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8999999999999998"/>
  </r>
  <r>
    <s v="Mum-TCL132"/>
    <x v="131"/>
    <x v="3"/>
    <n v="71"/>
    <n v="21"/>
    <n v="70"/>
    <n v="53"/>
    <n v="49"/>
    <n v="264"/>
    <n v="500"/>
    <n v="0.52800000000000002"/>
    <n v="0.47199999999999998"/>
  </r>
  <r>
    <s v="Mum-TCL133"/>
    <x v="132"/>
    <x v="4"/>
    <n v="86"/>
    <n v="60"/>
    <n v="59"/>
    <n v="51"/>
    <n v="90"/>
    <n v="346"/>
    <n v="500"/>
    <n v="0.69199999999999995"/>
    <n v="0.308"/>
  </r>
  <r>
    <s v="Mum-TCL134"/>
    <x v="133"/>
    <x v="5"/>
    <n v="68"/>
    <n v="61"/>
    <n v="12"/>
    <n v="41"/>
    <n v="35"/>
    <n v="217"/>
    <n v="500"/>
    <n v="0.434"/>
    <n v="0.56599999999999995"/>
  </r>
  <r>
    <s v="Mum-TCL135"/>
    <x v="134"/>
    <x v="6"/>
    <n v="65"/>
    <n v="34"/>
    <n v="15"/>
    <n v="86"/>
    <n v="71"/>
    <n v="271"/>
    <n v="500"/>
    <n v="0.54200000000000004"/>
    <n v="0.45800000000000002"/>
  </r>
  <r>
    <s v="Mum-TCL136"/>
    <x v="135"/>
    <x v="7"/>
    <n v="91"/>
    <n v="21"/>
    <n v="59"/>
    <n v="85"/>
    <n v="60"/>
    <n v="316"/>
    <n v="500"/>
    <n v="0.63200000000000001"/>
    <n v="0.36799999999999999"/>
  </r>
  <r>
    <s v="Mum-TCL137"/>
    <x v="136"/>
    <x v="0"/>
    <n v="73"/>
    <n v="67"/>
    <n v="49"/>
    <n v="56"/>
    <n v="43"/>
    <n v="288"/>
    <n v="500"/>
    <n v="0.57599999999999996"/>
    <n v="0.42399999999999999"/>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79999999999999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61924FD-3686-4319-AC4C-4B96EA8D5844}" name="PivotTable1" cacheId="1"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5"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8"/>
    </i>
    <i>
      <x v="62"/>
    </i>
    <i>
      <x v="82"/>
    </i>
    <i>
      <x v="111"/>
    </i>
    <i>
      <x v="119"/>
    </i>
  </rowItems>
  <colItems count="1">
    <i/>
  </colItems>
  <dataFields count="1">
    <dataField name="Total Sales " fld="8"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Medium11"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E6F97CB-D361-48FD-B5B2-FBCF66C4E82A}" name="PivotTable4" cacheId="1"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Away From Target % Wise" fld="11" baseField="0"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11" showRowHeaders="1" showColHeaders="1" showRowStripes="0" showColStripes="0" showLastColumn="1"/>
  <filters count="1">
    <filter fld="1"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77F19DE-15A1-4957-8EC6-033ED1B0CA3A}" name="PivotTable3" cacheId="1"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Target Hit % Wise" fld="10" baseField="1" baseItem="0" numFmtId="1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s>
  <pivotTableStyleInfo name="PivotStyleMedium11"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5FC626E-BE71-41FE-A511-66D070CD5197}" name="PivotTable2" cacheId="1"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Total Sales " fld="8" baseField="0" baseItem="0"/>
  </dataFields>
  <pivotTableStyleInfo name="PivotStyleMedium11"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B1529A7-F22E-449C-86AD-CC73CE9ABF36}"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D24" firstHeaderRow="0" firstDataRow="1" firstDataCol="1" rowPageCount="1" colPageCount="1"/>
  <pivotFields count="10">
    <pivotField showAll="0"/>
    <pivotField showAll="0"/>
    <pivotField axis="axisRow" showAll="0">
      <items count="16">
        <item x="7"/>
        <item x="2"/>
        <item x="5"/>
        <item x="1"/>
        <item x="8"/>
        <item x="12"/>
        <item x="11"/>
        <item x="3"/>
        <item x="4"/>
        <item x="6"/>
        <item x="0"/>
        <item x="13"/>
        <item x="9"/>
        <item x="10"/>
        <item x="14"/>
        <item t="default"/>
      </items>
    </pivotField>
    <pivotField axis="axisRow" dataField="1" showAll="0">
      <items count="6">
        <item x="4"/>
        <item x="3"/>
        <item x="2"/>
        <item x="0"/>
        <item x="1"/>
        <item t="default"/>
      </items>
    </pivotField>
    <pivotField showAll="0"/>
    <pivotField axis="axisPage" showAll="0">
      <items count="6">
        <item x="2"/>
        <item x="4"/>
        <item x="0"/>
        <item x="3"/>
        <item x="1"/>
        <item t="default"/>
      </items>
    </pivotField>
    <pivotField showAll="0"/>
    <pivotField dataField="1" showAll="0"/>
    <pivotField showAll="0"/>
    <pivotField dataField="1" showAll="0"/>
  </pivotFields>
  <rowFields count="2">
    <field x="3"/>
    <field x="2"/>
  </rowFields>
  <rowItems count="21">
    <i>
      <x/>
    </i>
    <i r="1">
      <x v="4"/>
    </i>
    <i r="1">
      <x v="6"/>
    </i>
    <i r="1">
      <x v="11"/>
    </i>
    <i>
      <x v="1"/>
    </i>
    <i r="1">
      <x/>
    </i>
    <i r="1">
      <x v="13"/>
    </i>
    <i r="1">
      <x v="14"/>
    </i>
    <i>
      <x v="2"/>
    </i>
    <i r="1">
      <x v="1"/>
    </i>
    <i r="1">
      <x v="5"/>
    </i>
    <i r="1">
      <x v="9"/>
    </i>
    <i>
      <x v="3"/>
    </i>
    <i r="1">
      <x v="8"/>
    </i>
    <i r="1">
      <x v="10"/>
    </i>
    <i r="1">
      <x v="12"/>
    </i>
    <i>
      <x v="4"/>
    </i>
    <i r="1">
      <x v="2"/>
    </i>
    <i r="1">
      <x v="3"/>
    </i>
    <i r="1">
      <x v="7"/>
    </i>
    <i t="grand">
      <x/>
    </i>
  </rowItems>
  <colFields count="1">
    <field x="-2"/>
  </colFields>
  <colItems count="3">
    <i>
      <x/>
    </i>
    <i i="1">
      <x v="1"/>
    </i>
    <i i="2">
      <x v="2"/>
    </i>
  </colItems>
  <pageFields count="1">
    <pageField fld="5" item="1" hier="-1"/>
  </pageFields>
  <dataFields count="3">
    <dataField name="Average of Sales Amount" fld="9" subtotal="average" baseField="3" baseItem="0"/>
    <dataField name="Max of Quantity" fld="7" subtotal="max" baseField="3" baseItem="0"/>
    <dataField name="Count of State" fld="3"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B1529A7-F22E-449C-86AD-CC73CE9ABF36}"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D24" firstHeaderRow="0" firstDataRow="1" firstDataCol="1" rowPageCount="1" colPageCount="1"/>
  <pivotFields count="10">
    <pivotField showAll="0"/>
    <pivotField showAll="0"/>
    <pivotField axis="axisRow" showAll="0">
      <items count="16">
        <item x="7"/>
        <item x="2"/>
        <item x="5"/>
        <item x="1"/>
        <item x="8"/>
        <item x="12"/>
        <item x="11"/>
        <item x="3"/>
        <item x="4"/>
        <item x="6"/>
        <item x="0"/>
        <item x="13"/>
        <item x="9"/>
        <item x="10"/>
        <item x="14"/>
        <item t="default"/>
      </items>
    </pivotField>
    <pivotField axis="axisRow" dataField="1" showAll="0">
      <items count="6">
        <item x="4"/>
        <item x="3"/>
        <item x="2"/>
        <item x="0"/>
        <item x="1"/>
        <item t="default"/>
      </items>
    </pivotField>
    <pivotField showAll="0"/>
    <pivotField axis="axisPage" showAll="0">
      <items count="6">
        <item x="2"/>
        <item x="4"/>
        <item x="0"/>
        <item x="3"/>
        <item x="1"/>
        <item t="default"/>
      </items>
    </pivotField>
    <pivotField showAll="0"/>
    <pivotField dataField="1" showAll="0"/>
    <pivotField showAll="0"/>
    <pivotField dataField="1" showAll="0"/>
  </pivotFields>
  <rowFields count="2">
    <field x="3"/>
    <field x="2"/>
  </rowFields>
  <rowItems count="21">
    <i>
      <x/>
    </i>
    <i r="1">
      <x v="4"/>
    </i>
    <i r="1">
      <x v="6"/>
    </i>
    <i r="1">
      <x v="11"/>
    </i>
    <i>
      <x v="1"/>
    </i>
    <i r="1">
      <x/>
    </i>
    <i r="1">
      <x v="13"/>
    </i>
    <i r="1">
      <x v="14"/>
    </i>
    <i>
      <x v="2"/>
    </i>
    <i r="1">
      <x v="1"/>
    </i>
    <i r="1">
      <x v="5"/>
    </i>
    <i r="1">
      <x v="9"/>
    </i>
    <i>
      <x v="3"/>
    </i>
    <i r="1">
      <x v="8"/>
    </i>
    <i r="1">
      <x v="10"/>
    </i>
    <i r="1">
      <x v="12"/>
    </i>
    <i>
      <x v="4"/>
    </i>
    <i r="1">
      <x v="2"/>
    </i>
    <i r="1">
      <x v="3"/>
    </i>
    <i r="1">
      <x v="7"/>
    </i>
    <i t="grand">
      <x/>
    </i>
  </rowItems>
  <colFields count="1">
    <field x="-2"/>
  </colFields>
  <colItems count="3">
    <i>
      <x/>
    </i>
    <i i="1">
      <x v="1"/>
    </i>
    <i i="2">
      <x v="2"/>
    </i>
  </colItems>
  <pageFields count="1">
    <pageField fld="5" item="2" hier="-1"/>
  </pageFields>
  <dataFields count="3">
    <dataField name="Average of Sales Amount" fld="9" subtotal="average" baseField="3" baseItem="0"/>
    <dataField name="Max of Quantity" fld="7" subtotal="max" baseField="3" baseItem="0"/>
    <dataField name="Count of State" fld="3"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8B1529A7-F22E-449C-86AD-CC73CE9ABF36}"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D24" firstHeaderRow="0" firstDataRow="1" firstDataCol="1" rowPageCount="1" colPageCount="1"/>
  <pivotFields count="10">
    <pivotField showAll="0"/>
    <pivotField showAll="0"/>
    <pivotField axis="axisRow" showAll="0">
      <items count="16">
        <item x="7"/>
        <item x="2"/>
        <item x="5"/>
        <item x="1"/>
        <item x="8"/>
        <item x="12"/>
        <item x="11"/>
        <item x="3"/>
        <item x="4"/>
        <item x="6"/>
        <item x="0"/>
        <item x="13"/>
        <item x="9"/>
        <item x="10"/>
        <item x="14"/>
        <item t="default"/>
      </items>
    </pivotField>
    <pivotField axis="axisRow" dataField="1" showAll="0">
      <items count="6">
        <item x="4"/>
        <item x="3"/>
        <item x="2"/>
        <item x="0"/>
        <item x="1"/>
        <item t="default"/>
      </items>
    </pivotField>
    <pivotField showAll="0"/>
    <pivotField axis="axisPage" showAll="0">
      <items count="6">
        <item x="2"/>
        <item x="4"/>
        <item x="0"/>
        <item x="3"/>
        <item x="1"/>
        <item t="default"/>
      </items>
    </pivotField>
    <pivotField showAll="0"/>
    <pivotField dataField="1" showAll="0"/>
    <pivotField showAll="0"/>
    <pivotField dataField="1" showAll="0"/>
  </pivotFields>
  <rowFields count="2">
    <field x="3"/>
    <field x="2"/>
  </rowFields>
  <rowItems count="21">
    <i>
      <x/>
    </i>
    <i r="1">
      <x v="4"/>
    </i>
    <i r="1">
      <x v="6"/>
    </i>
    <i r="1">
      <x v="11"/>
    </i>
    <i>
      <x v="1"/>
    </i>
    <i r="1">
      <x/>
    </i>
    <i r="1">
      <x v="13"/>
    </i>
    <i r="1">
      <x v="14"/>
    </i>
    <i>
      <x v="2"/>
    </i>
    <i r="1">
      <x v="1"/>
    </i>
    <i r="1">
      <x v="5"/>
    </i>
    <i r="1">
      <x v="9"/>
    </i>
    <i>
      <x v="3"/>
    </i>
    <i r="1">
      <x v="8"/>
    </i>
    <i r="1">
      <x v="10"/>
    </i>
    <i r="1">
      <x v="12"/>
    </i>
    <i>
      <x v="4"/>
    </i>
    <i r="1">
      <x v="2"/>
    </i>
    <i r="1">
      <x v="3"/>
    </i>
    <i r="1">
      <x v="7"/>
    </i>
    <i t="grand">
      <x/>
    </i>
  </rowItems>
  <colFields count="1">
    <field x="-2"/>
  </colFields>
  <colItems count="3">
    <i>
      <x/>
    </i>
    <i i="1">
      <x v="1"/>
    </i>
    <i i="2">
      <x v="2"/>
    </i>
  </colItems>
  <pageFields count="1">
    <pageField fld="5" item="3" hier="-1"/>
  </pageFields>
  <dataFields count="3">
    <dataField name="Average of Sales Amount" fld="9" subtotal="average" baseField="3" baseItem="0"/>
    <dataField name="Max of Quantity" fld="7" subtotal="max" baseField="3" baseItem="0"/>
    <dataField name="Count of State" fld="3"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8B1529A7-F22E-449C-86AD-CC73CE9ABF36}"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D24" firstHeaderRow="0" firstDataRow="1" firstDataCol="1" rowPageCount="1" colPageCount="1"/>
  <pivotFields count="10">
    <pivotField showAll="0"/>
    <pivotField showAll="0"/>
    <pivotField axis="axisRow" showAll="0">
      <items count="16">
        <item x="7"/>
        <item x="2"/>
        <item x="5"/>
        <item x="1"/>
        <item x="8"/>
        <item x="12"/>
        <item x="11"/>
        <item x="3"/>
        <item x="4"/>
        <item x="6"/>
        <item x="0"/>
        <item x="13"/>
        <item x="9"/>
        <item x="10"/>
        <item x="14"/>
        <item t="default"/>
      </items>
    </pivotField>
    <pivotField axis="axisRow" dataField="1" showAll="0">
      <items count="6">
        <item x="4"/>
        <item x="3"/>
        <item x="2"/>
        <item x="0"/>
        <item x="1"/>
        <item t="default"/>
      </items>
    </pivotField>
    <pivotField showAll="0"/>
    <pivotField axis="axisPage" showAll="0">
      <items count="6">
        <item x="2"/>
        <item x="4"/>
        <item x="0"/>
        <item x="3"/>
        <item x="1"/>
        <item t="default"/>
      </items>
    </pivotField>
    <pivotField showAll="0"/>
    <pivotField dataField="1" showAll="0"/>
    <pivotField showAll="0"/>
    <pivotField dataField="1" showAll="0"/>
  </pivotFields>
  <rowFields count="2">
    <field x="3"/>
    <field x="2"/>
  </rowFields>
  <rowItems count="21">
    <i>
      <x/>
    </i>
    <i r="1">
      <x v="4"/>
    </i>
    <i r="1">
      <x v="6"/>
    </i>
    <i r="1">
      <x v="11"/>
    </i>
    <i>
      <x v="1"/>
    </i>
    <i r="1">
      <x/>
    </i>
    <i r="1">
      <x v="13"/>
    </i>
    <i r="1">
      <x v="14"/>
    </i>
    <i>
      <x v="2"/>
    </i>
    <i r="1">
      <x v="1"/>
    </i>
    <i r="1">
      <x v="5"/>
    </i>
    <i r="1">
      <x v="9"/>
    </i>
    <i>
      <x v="3"/>
    </i>
    <i r="1">
      <x v="8"/>
    </i>
    <i r="1">
      <x v="10"/>
    </i>
    <i r="1">
      <x v="12"/>
    </i>
    <i>
      <x v="4"/>
    </i>
    <i r="1">
      <x v="2"/>
    </i>
    <i r="1">
      <x v="3"/>
    </i>
    <i r="1">
      <x v="7"/>
    </i>
    <i t="grand">
      <x/>
    </i>
  </rowItems>
  <colFields count="1">
    <field x="-2"/>
  </colFields>
  <colItems count="3">
    <i>
      <x/>
    </i>
    <i i="1">
      <x v="1"/>
    </i>
    <i i="2">
      <x v="2"/>
    </i>
  </colItems>
  <pageFields count="1">
    <pageField fld="5" item="4" hier="-1"/>
  </pageFields>
  <dataFields count="3">
    <dataField name="Average of Sales Amount" fld="9" subtotal="average" baseField="3" baseItem="0"/>
    <dataField name="Max of Quantity" fld="7" subtotal="max" baseField="3" baseItem="0"/>
    <dataField name="Count of State" fld="3"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8B1529A7-F22E-449C-86AD-CC73CE9ABF36}"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3:B9" firstHeaderRow="1" firstDataRow="1" firstDataCol="1" rowPageCount="1" colPageCount="1"/>
  <pivotFields count="10">
    <pivotField showAll="0"/>
    <pivotField showAll="0"/>
    <pivotField showAll="0">
      <items count="16">
        <item x="7"/>
        <item x="2"/>
        <item x="5"/>
        <item x="1"/>
        <item x="8"/>
        <item x="12"/>
        <item x="11"/>
        <item x="3"/>
        <item x="4"/>
        <item x="6"/>
        <item x="0"/>
        <item x="13"/>
        <item x="9"/>
        <item x="10"/>
        <item x="14"/>
        <item t="default"/>
      </items>
    </pivotField>
    <pivotField axis="axisRow" showAll="0">
      <items count="6">
        <item n=" " x="4"/>
        <item x="3"/>
        <item x="2"/>
        <item x="0"/>
        <item x="1"/>
        <item t="default"/>
      </items>
    </pivotField>
    <pivotField showAll="0"/>
    <pivotField axis="axisPage" showAll="0">
      <items count="6">
        <item x="2"/>
        <item x="4"/>
        <item x="0"/>
        <item x="3"/>
        <item x="1"/>
        <item t="default"/>
      </items>
    </pivotField>
    <pivotField showAll="0"/>
    <pivotField dataField="1" showAll="0"/>
    <pivotField showAll="0"/>
    <pivotField showAll="0"/>
  </pivotFields>
  <rowFields count="1">
    <field x="3"/>
  </rowFields>
  <rowItems count="6">
    <i>
      <x/>
    </i>
    <i>
      <x v="1"/>
    </i>
    <i>
      <x v="2"/>
    </i>
    <i>
      <x v="3"/>
    </i>
    <i>
      <x v="4"/>
    </i>
    <i t="grand">
      <x/>
    </i>
  </rowItems>
  <colItems count="1">
    <i/>
  </colItems>
  <pageFields count="1">
    <pageField fld="5" hier="-1"/>
  </pageFields>
  <dataFields count="1">
    <dataField name="Sum of Quantity" fld="7" baseField="3" baseItem="0"/>
  </dataField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3E5F1A68-3B67-4DE1-812A-F77CE52E77AD}"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2:B350" firstHeaderRow="1" firstDataRow="1" firstDataCol="1"/>
  <pivotFields count="10">
    <pivotField axis="axisRow" showAll="0">
      <items count="348">
        <item x="28"/>
        <item x="251"/>
        <item x="254"/>
        <item x="48"/>
        <item x="151"/>
        <item x="92"/>
        <item x="124"/>
        <item x="90"/>
        <item x="195"/>
        <item x="187"/>
        <item x="247"/>
        <item x="33"/>
        <item x="149"/>
        <item x="12"/>
        <item x="201"/>
        <item x="321"/>
        <item x="101"/>
        <item x="292"/>
        <item x="182"/>
        <item x="250"/>
        <item x="3"/>
        <item x="245"/>
        <item x="217"/>
        <item x="145"/>
        <item x="136"/>
        <item x="219"/>
        <item x="45"/>
        <item x="79"/>
        <item x="7"/>
        <item x="248"/>
        <item x="134"/>
        <item x="192"/>
        <item x="128"/>
        <item x="57"/>
        <item x="69"/>
        <item x="119"/>
        <item x="138"/>
        <item x="96"/>
        <item x="327"/>
        <item x="266"/>
        <item x="8"/>
        <item x="115"/>
        <item x="287"/>
        <item x="326"/>
        <item x="265"/>
        <item x="334"/>
        <item x="340"/>
        <item x="52"/>
        <item x="126"/>
        <item x="140"/>
        <item x="171"/>
        <item x="14"/>
        <item x="76"/>
        <item x="31"/>
        <item x="276"/>
        <item x="190"/>
        <item x="103"/>
        <item x="253"/>
        <item x="24"/>
        <item x="152"/>
        <item x="223"/>
        <item x="243"/>
        <item x="297"/>
        <item x="5"/>
        <item x="191"/>
        <item x="162"/>
        <item x="60"/>
        <item x="40"/>
        <item x="322"/>
        <item x="308"/>
        <item x="208"/>
        <item x="160"/>
        <item x="125"/>
        <item x="9"/>
        <item x="305"/>
        <item x="17"/>
        <item x="35"/>
        <item x="18"/>
        <item x="169"/>
        <item x="263"/>
        <item x="226"/>
        <item x="280"/>
        <item x="16"/>
        <item x="102"/>
        <item x="319"/>
        <item x="275"/>
        <item x="78"/>
        <item x="106"/>
        <item x="129"/>
        <item x="318"/>
        <item x="154"/>
        <item x="67"/>
        <item x="294"/>
        <item x="123"/>
        <item x="307"/>
        <item x="150"/>
        <item x="343"/>
        <item x="95"/>
        <item x="346"/>
        <item x="120"/>
        <item x="22"/>
        <item x="324"/>
        <item x="81"/>
        <item x="167"/>
        <item x="38"/>
        <item x="117"/>
        <item x="309"/>
        <item x="39"/>
        <item x="236"/>
        <item x="218"/>
        <item x="262"/>
        <item x="43"/>
        <item x="54"/>
        <item x="10"/>
        <item x="204"/>
        <item x="310"/>
        <item x="62"/>
        <item x="47"/>
        <item x="63"/>
        <item x="19"/>
        <item x="137"/>
        <item x="207"/>
        <item x="330"/>
        <item x="112"/>
        <item x="240"/>
        <item x="91"/>
        <item x="74"/>
        <item x="176"/>
        <item x="278"/>
        <item x="291"/>
        <item x="189"/>
        <item x="168"/>
        <item x="173"/>
        <item x="193"/>
        <item x="214"/>
        <item x="59"/>
        <item x="13"/>
        <item x="93"/>
        <item x="127"/>
        <item x="97"/>
        <item x="88"/>
        <item x="257"/>
        <item x="184"/>
        <item x="227"/>
        <item x="335"/>
        <item x="65"/>
        <item x="281"/>
        <item x="29"/>
        <item x="98"/>
        <item x="165"/>
        <item x="239"/>
        <item x="21"/>
        <item x="0"/>
        <item x="64"/>
        <item x="141"/>
        <item x="246"/>
        <item x="230"/>
        <item x="75"/>
        <item x="221"/>
        <item x="130"/>
        <item x="86"/>
        <item x="260"/>
        <item x="153"/>
        <item x="283"/>
        <item x="73"/>
        <item x="332"/>
        <item x="25"/>
        <item x="114"/>
        <item x="337"/>
        <item x="285"/>
        <item x="286"/>
        <item x="345"/>
        <item x="256"/>
        <item x="338"/>
        <item x="142"/>
        <item x="175"/>
        <item x="277"/>
        <item x="320"/>
        <item x="177"/>
        <item x="268"/>
        <item x="157"/>
        <item x="342"/>
        <item x="155"/>
        <item x="211"/>
        <item x="325"/>
        <item x="228"/>
        <item x="34"/>
        <item x="344"/>
        <item x="71"/>
        <item x="238"/>
        <item x="274"/>
        <item x="302"/>
        <item x="26"/>
        <item x="186"/>
        <item x="315"/>
        <item x="188"/>
        <item x="270"/>
        <item x="72"/>
        <item x="161"/>
        <item x="215"/>
        <item x="147"/>
        <item x="295"/>
        <item x="252"/>
        <item x="44"/>
        <item x="105"/>
        <item x="316"/>
        <item x="108"/>
        <item x="261"/>
        <item x="234"/>
        <item x="279"/>
        <item x="317"/>
        <item x="312"/>
        <item x="313"/>
        <item x="37"/>
        <item x="23"/>
        <item x="6"/>
        <item x="290"/>
        <item x="224"/>
        <item x="323"/>
        <item x="220"/>
        <item x="1"/>
        <item x="80"/>
        <item x="144"/>
        <item x="163"/>
        <item x="66"/>
        <item x="196"/>
        <item x="336"/>
        <item x="15"/>
        <item x="183"/>
        <item x="304"/>
        <item x="85"/>
        <item x="51"/>
        <item x="206"/>
        <item x="132"/>
        <item x="179"/>
        <item x="82"/>
        <item x="133"/>
        <item x="56"/>
        <item x="339"/>
        <item x="84"/>
        <item x="210"/>
        <item x="94"/>
        <item x="49"/>
        <item x="87"/>
        <item x="58"/>
        <item x="113"/>
        <item x="42"/>
        <item x="41"/>
        <item x="77"/>
        <item x="244"/>
        <item x="166"/>
        <item x="143"/>
        <item x="36"/>
        <item x="139"/>
        <item x="109"/>
        <item x="121"/>
        <item x="269"/>
        <item x="299"/>
        <item x="202"/>
        <item x="341"/>
        <item x="135"/>
        <item x="259"/>
        <item x="303"/>
        <item x="61"/>
        <item x="231"/>
        <item x="198"/>
        <item x="298"/>
        <item x="99"/>
        <item x="46"/>
        <item x="180"/>
        <item x="2"/>
        <item x="27"/>
        <item x="131"/>
        <item x="271"/>
        <item x="301"/>
        <item x="110"/>
        <item x="288"/>
        <item x="289"/>
        <item x="20"/>
        <item x="311"/>
        <item x="70"/>
        <item x="306"/>
        <item x="216"/>
        <item x="282"/>
        <item x="4"/>
        <item x="197"/>
        <item x="272"/>
        <item x="209"/>
        <item x="111"/>
        <item x="116"/>
        <item x="213"/>
        <item x="235"/>
        <item x="164"/>
        <item x="264"/>
        <item x="293"/>
        <item x="104"/>
        <item x="172"/>
        <item x="233"/>
        <item x="333"/>
        <item x="100"/>
        <item x="329"/>
        <item x="199"/>
        <item x="300"/>
        <item x="89"/>
        <item x="158"/>
        <item x="53"/>
        <item x="237"/>
        <item x="225"/>
        <item x="222"/>
        <item x="205"/>
        <item x="178"/>
        <item x="212"/>
        <item x="181"/>
        <item x="55"/>
        <item x="203"/>
        <item x="32"/>
        <item x="284"/>
        <item x="314"/>
        <item x="249"/>
        <item x="170"/>
        <item x="156"/>
        <item x="122"/>
        <item x="68"/>
        <item x="30"/>
        <item x="118"/>
        <item x="194"/>
        <item x="296"/>
        <item x="83"/>
        <item x="50"/>
        <item x="159"/>
        <item x="232"/>
        <item x="107"/>
        <item x="273"/>
        <item x="174"/>
        <item x="267"/>
        <item x="11"/>
        <item x="258"/>
        <item x="241"/>
        <item x="255"/>
        <item x="328"/>
        <item x="146"/>
        <item x="331"/>
        <item x="148"/>
        <item x="229"/>
        <item x="242"/>
        <item x="185"/>
        <item x="200"/>
        <item t="default"/>
      </items>
    </pivotField>
    <pivotField showAll="0"/>
    <pivotField showAll="0"/>
    <pivotField showAll="0"/>
    <pivotField showAll="0"/>
    <pivotField showAll="0"/>
    <pivotField showAll="0"/>
    <pivotField dataField="1" showAll="0"/>
    <pivotField showAll="0"/>
    <pivotField showAll="0"/>
  </pivotFields>
  <rowFields count="1">
    <field x="0"/>
  </rowFields>
  <rowItems count="348">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t="grand">
      <x/>
    </i>
  </rowItems>
  <colItems count="1">
    <i/>
  </colItems>
  <dataFields count="1">
    <dataField name="Sum of Quantity" fld="7" baseField="0" baseItem="0"/>
  </dataFields>
  <formats count="1">
    <format dxfId="0">
      <pivotArea dataOnly="0" fieldPosition="0">
        <references count="1">
          <reference field="0" count="7">
            <x v="4"/>
            <x v="5"/>
            <x v="6"/>
            <x v="7"/>
            <x v="8"/>
            <x v="9"/>
            <x v="1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 xr10:uid="{B5311B78-0BA4-44A3-A2BF-7B340DE12B07}" sourceName="State">
  <pivotTables>
    <pivotTable tabId="12" name="PivotTable1"/>
  </pivotTables>
  <data>
    <tabular pivotCacheId="1438339393">
      <items count="5">
        <i x="4" s="1"/>
        <i x="3" s="1"/>
        <i x="2" s="1"/>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951E199A-BDA1-4C79-9F0A-7450BFB86F9A}" sourceName="Region">
  <pivotTables>
    <pivotTable tabId="19" name="PivotTable1"/>
  </pivotTables>
  <data>
    <tabular pivotCacheId="738219125">
      <items count="8">
        <i x="3"/>
        <i x="1"/>
        <i x="0" s="1"/>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1E62AE7A-8ED0-409A-916A-09F1361E0462}" cache="Slicer_Region" caption="Region" columnCount="8" showCaption="0" style="Slicer Style 1"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ate" xr10:uid="{C75E2CD8-BD97-40BA-BE23-043D427F940F}" cache="Slicer_State" caption="State"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12.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_rels/sheet14.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15.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ivotTable" Target="../pivotTables/pivotTable9.xml"/></Relationships>
</file>

<file path=xl/worksheets/_rels/sheet16.xml.rels><?xml version="1.0" encoding="UTF-8" standalone="yes"?>
<Relationships xmlns="http://schemas.openxmlformats.org/package/2006/relationships"><Relationship Id="rId1" Type="http://schemas.openxmlformats.org/officeDocument/2006/relationships/pivotTable" Target="../pivotTables/pivotTable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2BF0FC-F314-4B8E-958E-CA4BAD754A90}">
  <sheetPr codeName="Sheet16"/>
  <dimension ref="A1:T24"/>
  <sheetViews>
    <sheetView zoomScaleNormal="100" workbookViewId="0">
      <selection activeCell="N3" sqref="N3"/>
    </sheetView>
  </sheetViews>
  <sheetFormatPr defaultRowHeight="14.4"/>
  <cols>
    <col min="1" max="1" width="16" bestFit="1" customWidth="1"/>
    <col min="2" max="2" width="24.109375" customWidth="1"/>
    <col min="3" max="3" width="3.44140625" customWidth="1"/>
    <col min="4" max="4" width="24.109375" customWidth="1"/>
    <col min="5" max="5" width="10.33203125" bestFit="1" customWidth="1"/>
    <col min="6" max="6" width="3.88671875" customWidth="1"/>
    <col min="7" max="7" width="16" bestFit="1" customWidth="1"/>
    <col min="8" max="8" width="15.5546875" bestFit="1" customWidth="1"/>
    <col min="9" max="9" width="3" customWidth="1"/>
    <col min="10" max="10" width="16" bestFit="1" customWidth="1"/>
    <col min="11" max="11" width="22.88671875" bestFit="1" customWidth="1"/>
  </cols>
  <sheetData>
    <row r="1" spans="1:20" s="79" customFormat="1" ht="19.2" customHeight="1">
      <c r="A1" s="80" t="b">
        <v>1</v>
      </c>
      <c r="B1" s="80"/>
      <c r="C1" s="80"/>
      <c r="D1" s="80" t="b">
        <v>0</v>
      </c>
      <c r="E1" s="80"/>
      <c r="F1" s="80"/>
      <c r="G1" s="80" t="b">
        <v>0</v>
      </c>
      <c r="H1" s="80"/>
      <c r="I1" s="80"/>
      <c r="J1" s="80" t="b">
        <v>0</v>
      </c>
    </row>
    <row r="2" spans="1:20" s="79" customFormat="1" ht="48.6" customHeight="1"/>
    <row r="3" spans="1:20">
      <c r="A3" s="61" t="s">
        <v>559</v>
      </c>
      <c r="B3" t="s">
        <v>853</v>
      </c>
      <c r="C3" s="79"/>
      <c r="D3" s="61" t="s">
        <v>559</v>
      </c>
      <c r="E3" t="s">
        <v>853</v>
      </c>
      <c r="F3" s="79"/>
      <c r="G3" s="61" t="s">
        <v>559</v>
      </c>
      <c r="H3" t="s">
        <v>854</v>
      </c>
      <c r="I3" s="79"/>
      <c r="J3" s="61" t="s">
        <v>559</v>
      </c>
      <c r="K3" t="s">
        <v>855</v>
      </c>
      <c r="L3" s="79"/>
      <c r="M3" s="79"/>
      <c r="N3" s="79"/>
      <c r="O3" s="79"/>
      <c r="P3" s="79"/>
      <c r="Q3" s="79"/>
    </row>
    <row r="4" spans="1:20">
      <c r="A4" s="1" t="s">
        <v>780</v>
      </c>
      <c r="B4" s="81">
        <v>351</v>
      </c>
      <c r="C4" s="79"/>
      <c r="D4" s="1" t="s">
        <v>804</v>
      </c>
      <c r="E4">
        <v>166</v>
      </c>
      <c r="F4" s="79"/>
      <c r="G4" s="1" t="s">
        <v>846</v>
      </c>
      <c r="H4" s="76">
        <v>0.76400000000000001</v>
      </c>
      <c r="I4" s="79"/>
      <c r="J4" s="1" t="s">
        <v>804</v>
      </c>
      <c r="K4" s="76">
        <v>0.66800000000000004</v>
      </c>
      <c r="L4" s="79"/>
      <c r="M4" s="79"/>
      <c r="N4" s="79"/>
      <c r="O4" s="79"/>
      <c r="P4" s="79"/>
      <c r="Q4" s="79"/>
    </row>
    <row r="5" spans="1:20">
      <c r="A5" s="1" t="s">
        <v>732</v>
      </c>
      <c r="B5" s="81">
        <v>351</v>
      </c>
      <c r="C5" s="79"/>
      <c r="D5" s="1" t="s">
        <v>716</v>
      </c>
      <c r="E5">
        <v>143</v>
      </c>
      <c r="F5" s="79"/>
      <c r="G5" s="1" t="s">
        <v>574</v>
      </c>
      <c r="H5" s="76">
        <v>0.75800000000000001</v>
      </c>
      <c r="I5" s="79"/>
      <c r="J5" s="1" t="s">
        <v>716</v>
      </c>
      <c r="K5" s="76">
        <v>0.71399999999999997</v>
      </c>
      <c r="L5" s="79"/>
      <c r="M5" s="79"/>
      <c r="N5" s="79"/>
      <c r="O5" s="79"/>
      <c r="P5" s="79"/>
      <c r="Q5" s="79"/>
    </row>
    <row r="6" spans="1:20">
      <c r="A6" s="1" t="s">
        <v>570</v>
      </c>
      <c r="B6" s="81">
        <v>339</v>
      </c>
      <c r="C6" s="79"/>
      <c r="D6" s="1" t="s">
        <v>712</v>
      </c>
      <c r="E6">
        <v>156</v>
      </c>
      <c r="F6" s="79"/>
      <c r="G6" s="1" t="s">
        <v>794</v>
      </c>
      <c r="H6" s="76">
        <v>0.77800000000000002</v>
      </c>
      <c r="I6" s="79"/>
      <c r="J6" s="1" t="s">
        <v>712</v>
      </c>
      <c r="K6" s="76">
        <v>0.68799999999999994</v>
      </c>
      <c r="L6" s="79"/>
      <c r="M6" s="79"/>
      <c r="N6" s="79"/>
      <c r="O6" s="79"/>
      <c r="P6" s="79"/>
      <c r="Q6" s="79"/>
    </row>
    <row r="7" spans="1:20">
      <c r="A7" s="1" t="s">
        <v>636</v>
      </c>
      <c r="B7" s="81">
        <v>332</v>
      </c>
      <c r="C7" s="79"/>
      <c r="D7" s="1" t="s">
        <v>708</v>
      </c>
      <c r="E7">
        <v>171</v>
      </c>
      <c r="F7" s="79"/>
      <c r="G7" s="1" t="s">
        <v>738</v>
      </c>
      <c r="H7" s="76">
        <v>0.76800000000000002</v>
      </c>
      <c r="I7" s="79"/>
      <c r="J7" s="1" t="s">
        <v>708</v>
      </c>
      <c r="K7" s="76">
        <v>0.65800000000000003</v>
      </c>
      <c r="L7" s="79"/>
      <c r="M7" s="79"/>
      <c r="N7" s="79"/>
      <c r="O7" s="79"/>
      <c r="P7" s="79"/>
      <c r="Q7" s="79"/>
    </row>
    <row r="8" spans="1:20">
      <c r="A8" s="1" t="s">
        <v>620</v>
      </c>
      <c r="B8" s="81">
        <v>344</v>
      </c>
      <c r="C8" s="79"/>
      <c r="D8" s="1" t="s">
        <v>702</v>
      </c>
      <c r="E8">
        <v>166</v>
      </c>
      <c r="F8" s="79"/>
      <c r="G8" s="1" t="s">
        <v>698</v>
      </c>
      <c r="H8" s="76">
        <v>0.77</v>
      </c>
      <c r="I8" s="79"/>
      <c r="J8" s="1" t="s">
        <v>702</v>
      </c>
      <c r="K8" s="76">
        <v>0.66800000000000004</v>
      </c>
      <c r="L8" s="79"/>
      <c r="M8" s="79"/>
      <c r="N8" s="79"/>
      <c r="O8" s="79"/>
      <c r="P8" s="79"/>
      <c r="Q8" s="79"/>
    </row>
    <row r="9" spans="1:20">
      <c r="A9" s="79"/>
      <c r="B9" s="79"/>
      <c r="C9" s="79"/>
      <c r="D9" s="79"/>
      <c r="E9" s="79"/>
      <c r="F9" s="79"/>
      <c r="G9" s="79"/>
      <c r="H9" s="79"/>
      <c r="I9" s="79"/>
      <c r="J9" s="79"/>
      <c r="K9" s="79"/>
      <c r="L9" s="79"/>
      <c r="M9" s="79"/>
      <c r="N9" s="79"/>
      <c r="O9" s="79"/>
      <c r="P9" s="79"/>
      <c r="Q9" s="79"/>
      <c r="R9" s="79"/>
      <c r="S9" s="79"/>
      <c r="T9" s="79"/>
    </row>
    <row r="10" spans="1:20">
      <c r="A10" s="79"/>
      <c r="B10" s="79"/>
      <c r="C10" s="79"/>
      <c r="D10" s="79"/>
      <c r="E10" s="79"/>
      <c r="F10" s="79"/>
      <c r="G10" s="79"/>
      <c r="H10" s="79"/>
      <c r="I10" s="79"/>
      <c r="J10" s="79"/>
      <c r="K10" s="79"/>
      <c r="L10" s="79"/>
      <c r="M10" s="79"/>
      <c r="N10" s="79"/>
      <c r="O10" s="79"/>
      <c r="P10" s="79"/>
      <c r="Q10" s="79"/>
      <c r="R10" s="79"/>
      <c r="S10" s="79"/>
      <c r="T10" s="79"/>
    </row>
    <row r="11" spans="1:20">
      <c r="A11" s="79"/>
      <c r="B11" s="79"/>
      <c r="C11" s="79"/>
      <c r="D11" s="79"/>
      <c r="E11" s="79"/>
      <c r="F11" s="79"/>
      <c r="G11" s="79"/>
      <c r="H11" s="79"/>
      <c r="I11" s="79"/>
      <c r="J11" s="79"/>
      <c r="K11" s="79"/>
      <c r="L11" s="79"/>
      <c r="M11" s="79"/>
      <c r="N11" s="79"/>
      <c r="O11" s="79"/>
      <c r="P11" s="79"/>
      <c r="Q11" s="79"/>
      <c r="R11" s="79"/>
      <c r="S11" s="79"/>
      <c r="T11" s="79"/>
    </row>
    <row r="12" spans="1:20">
      <c r="A12" s="79"/>
      <c r="B12" s="79"/>
      <c r="C12" s="79"/>
      <c r="D12" s="79"/>
      <c r="E12" s="79"/>
      <c r="F12" s="79"/>
      <c r="G12" s="79"/>
      <c r="H12" s="79"/>
      <c r="I12" s="79"/>
      <c r="J12" s="79"/>
      <c r="K12" s="79"/>
      <c r="L12" s="79"/>
      <c r="M12" s="79"/>
      <c r="N12" s="79"/>
      <c r="O12" s="79"/>
      <c r="P12" s="79"/>
      <c r="Q12" s="79"/>
      <c r="R12" s="79"/>
      <c r="S12" s="79"/>
      <c r="T12" s="79"/>
    </row>
    <row r="13" spans="1:20">
      <c r="A13" s="79"/>
      <c r="B13" s="79"/>
      <c r="C13" s="79"/>
      <c r="D13" s="79"/>
      <c r="E13" s="79"/>
      <c r="F13" s="79"/>
      <c r="G13" s="79"/>
      <c r="H13" s="79"/>
      <c r="I13" s="79"/>
      <c r="J13" s="79"/>
      <c r="K13" s="79"/>
      <c r="L13" s="79"/>
      <c r="M13" s="79"/>
      <c r="N13" s="79"/>
      <c r="O13" s="79"/>
      <c r="P13" s="79"/>
      <c r="Q13" s="79"/>
      <c r="R13" s="79"/>
      <c r="S13" s="79"/>
      <c r="T13" s="79"/>
    </row>
    <row r="14" spans="1:20">
      <c r="A14" s="79"/>
      <c r="B14" s="79"/>
      <c r="C14" s="79"/>
      <c r="D14" s="79"/>
      <c r="E14" s="79"/>
      <c r="F14" s="79"/>
      <c r="G14" s="79"/>
      <c r="H14" s="79"/>
      <c r="I14" s="79"/>
      <c r="J14" s="79"/>
      <c r="K14" s="79"/>
      <c r="L14" s="79"/>
      <c r="M14" s="79"/>
      <c r="N14" s="79"/>
      <c r="O14" s="79"/>
      <c r="P14" s="79"/>
      <c r="Q14" s="79"/>
      <c r="R14" s="79"/>
      <c r="S14" s="79"/>
      <c r="T14" s="79"/>
    </row>
    <row r="15" spans="1:20">
      <c r="A15" s="79"/>
      <c r="B15" s="79"/>
      <c r="C15" s="79"/>
      <c r="D15" s="79"/>
      <c r="E15" s="79"/>
      <c r="F15" s="79"/>
      <c r="G15" s="79"/>
      <c r="H15" s="79"/>
      <c r="I15" s="79"/>
      <c r="J15" s="79"/>
      <c r="K15" s="79"/>
      <c r="L15" s="79"/>
      <c r="M15" s="79"/>
      <c r="N15" s="79"/>
      <c r="O15" s="79"/>
      <c r="P15" s="79"/>
      <c r="Q15" s="79"/>
      <c r="R15" s="79"/>
      <c r="S15" s="79"/>
      <c r="T15" s="79"/>
    </row>
    <row r="16" spans="1:20">
      <c r="A16" s="79"/>
      <c r="B16" s="79"/>
      <c r="C16" s="79"/>
      <c r="D16" s="79"/>
      <c r="E16" s="79"/>
      <c r="F16" s="79"/>
      <c r="G16" s="79"/>
      <c r="H16" s="79"/>
      <c r="I16" s="79"/>
      <c r="J16" s="79"/>
      <c r="K16" s="79"/>
      <c r="L16" s="79"/>
      <c r="M16" s="79"/>
      <c r="N16" s="79"/>
      <c r="O16" s="79"/>
      <c r="P16" s="79"/>
      <c r="Q16" s="79"/>
      <c r="R16" s="79"/>
      <c r="S16" s="79"/>
      <c r="T16" s="79"/>
    </row>
    <row r="17" spans="1:20">
      <c r="A17" s="79"/>
      <c r="B17" s="79"/>
      <c r="C17" s="79"/>
      <c r="D17" s="79"/>
      <c r="E17" s="79"/>
      <c r="F17" s="79"/>
      <c r="G17" s="79"/>
      <c r="H17" s="79"/>
      <c r="I17" s="79"/>
      <c r="J17" s="79"/>
      <c r="K17" s="79"/>
      <c r="L17" s="79"/>
      <c r="M17" s="79"/>
      <c r="N17" s="79"/>
      <c r="O17" s="79"/>
      <c r="P17" s="79"/>
      <c r="Q17" s="79"/>
      <c r="R17" s="79"/>
      <c r="S17" s="79"/>
      <c r="T17" s="79"/>
    </row>
    <row r="18" spans="1:20">
      <c r="A18" s="79"/>
      <c r="B18" s="79"/>
      <c r="C18" s="79"/>
      <c r="D18" s="79"/>
      <c r="E18" s="79"/>
      <c r="F18" s="79"/>
      <c r="G18" s="79"/>
      <c r="H18" s="79"/>
      <c r="I18" s="79"/>
      <c r="J18" s="79"/>
      <c r="K18" s="79"/>
      <c r="L18" s="79"/>
      <c r="M18" s="79"/>
      <c r="N18" s="79"/>
      <c r="O18" s="79"/>
      <c r="P18" s="79"/>
      <c r="Q18" s="79"/>
      <c r="R18" s="79"/>
      <c r="S18" s="79"/>
      <c r="T18" s="79"/>
    </row>
    <row r="19" spans="1:20">
      <c r="A19" s="79"/>
      <c r="B19" s="79"/>
      <c r="C19" s="79"/>
      <c r="D19" s="79"/>
      <c r="E19" s="79"/>
      <c r="F19" s="79"/>
      <c r="G19" s="79"/>
      <c r="H19" s="79"/>
      <c r="I19" s="79"/>
      <c r="J19" s="79"/>
      <c r="K19" s="79"/>
      <c r="L19" s="79"/>
      <c r="M19" s="79"/>
      <c r="N19" s="79"/>
      <c r="O19" s="79"/>
      <c r="P19" s="79"/>
      <c r="Q19" s="79"/>
      <c r="R19" s="79"/>
      <c r="S19" s="79"/>
      <c r="T19" s="79"/>
    </row>
    <row r="20" spans="1:20">
      <c r="A20" s="79"/>
      <c r="B20" s="79"/>
      <c r="C20" s="79"/>
      <c r="D20" s="79"/>
      <c r="E20" s="79"/>
      <c r="F20" s="79"/>
      <c r="G20" s="79"/>
      <c r="H20" s="79"/>
      <c r="I20" s="79"/>
      <c r="J20" s="79"/>
      <c r="K20" s="79"/>
      <c r="L20" s="79"/>
      <c r="M20" s="79"/>
      <c r="N20" s="79"/>
      <c r="O20" s="79"/>
      <c r="P20" s="79"/>
      <c r="Q20" s="79"/>
      <c r="R20" s="79"/>
      <c r="S20" s="79"/>
      <c r="T20" s="79"/>
    </row>
    <row r="21" spans="1:20">
      <c r="A21" s="79"/>
      <c r="B21" s="79"/>
      <c r="C21" s="79"/>
      <c r="D21" s="79"/>
      <c r="E21" s="79"/>
      <c r="F21" s="79"/>
      <c r="G21" s="79"/>
      <c r="H21" s="79"/>
      <c r="I21" s="79"/>
      <c r="J21" s="79"/>
      <c r="K21" s="79"/>
      <c r="L21" s="79"/>
      <c r="M21" s="79"/>
      <c r="N21" s="79"/>
      <c r="O21" s="79"/>
      <c r="P21" s="79"/>
      <c r="Q21" s="79"/>
      <c r="R21" s="79"/>
      <c r="S21" s="79"/>
      <c r="T21" s="79"/>
    </row>
    <row r="22" spans="1:20">
      <c r="A22" s="79"/>
      <c r="B22" s="79"/>
      <c r="C22" s="79"/>
      <c r="D22" s="79"/>
      <c r="E22" s="79"/>
      <c r="F22" s="79"/>
      <c r="G22" s="79"/>
      <c r="H22" s="79"/>
      <c r="I22" s="79"/>
      <c r="J22" s="79"/>
      <c r="K22" s="79"/>
      <c r="L22" s="79"/>
      <c r="M22" s="79"/>
      <c r="N22" s="79"/>
      <c r="O22" s="79"/>
      <c r="P22" s="79"/>
      <c r="Q22" s="79"/>
      <c r="R22" s="79"/>
      <c r="S22" s="79"/>
      <c r="T22" s="79"/>
    </row>
    <row r="23" spans="1:20">
      <c r="A23" s="79"/>
      <c r="B23" s="79"/>
      <c r="C23" s="79"/>
      <c r="D23" s="79"/>
      <c r="E23" s="79"/>
      <c r="F23" s="79"/>
      <c r="G23" s="79"/>
      <c r="H23" s="79"/>
      <c r="I23" s="79"/>
      <c r="J23" s="79"/>
      <c r="K23" s="79"/>
      <c r="L23" s="79"/>
      <c r="M23" s="79"/>
      <c r="N23" s="79"/>
      <c r="O23" s="79"/>
      <c r="P23" s="79"/>
      <c r="Q23" s="79"/>
      <c r="R23" s="79"/>
      <c r="S23" s="79"/>
      <c r="T23" s="79"/>
    </row>
    <row r="24" spans="1:20">
      <c r="A24" s="79"/>
      <c r="B24" s="79"/>
      <c r="C24" s="79"/>
      <c r="D24" s="79"/>
      <c r="E24" s="79"/>
      <c r="F24" s="79"/>
      <c r="G24" s="79"/>
      <c r="H24" s="79"/>
      <c r="I24" s="79"/>
      <c r="J24" s="79"/>
      <c r="K24" s="79"/>
      <c r="L24" s="79"/>
      <c r="M24" s="79"/>
      <c r="N24" s="79"/>
      <c r="O24" s="79"/>
      <c r="P24" s="79"/>
      <c r="Q24" s="79"/>
      <c r="R24" s="79"/>
      <c r="S24" s="79"/>
      <c r="T24" s="79"/>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6385" r:id="rId7" name="Check Box 1">
              <controlPr defaultSize="0" autoFill="0" autoLine="0" autoPict="0" macro="[0]!SlicerConnection">
                <anchor moveWithCells="1">
                  <from>
                    <xdr:col>0</xdr:col>
                    <xdr:colOff>175260</xdr:colOff>
                    <xdr:row>1</xdr:row>
                    <xdr:rowOff>312420</xdr:rowOff>
                  </from>
                  <to>
                    <xdr:col>1</xdr:col>
                    <xdr:colOff>121920</xdr:colOff>
                    <xdr:row>1</xdr:row>
                    <xdr:rowOff>533400</xdr:rowOff>
                  </to>
                </anchor>
              </controlPr>
            </control>
          </mc:Choice>
        </mc:AlternateContent>
        <mc:AlternateContent xmlns:mc="http://schemas.openxmlformats.org/markup-compatibility/2006">
          <mc:Choice Requires="x14">
            <control shapeId="16386" r:id="rId8" name="Check Box 2">
              <controlPr defaultSize="0" autoFill="0" autoLine="0" autoPict="0">
                <anchor moveWithCells="1">
                  <from>
                    <xdr:col>3</xdr:col>
                    <xdr:colOff>152400</xdr:colOff>
                    <xdr:row>1</xdr:row>
                    <xdr:rowOff>281940</xdr:rowOff>
                  </from>
                  <to>
                    <xdr:col>3</xdr:col>
                    <xdr:colOff>1104900</xdr:colOff>
                    <xdr:row>1</xdr:row>
                    <xdr:rowOff>502920</xdr:rowOff>
                  </to>
                </anchor>
              </controlPr>
            </control>
          </mc:Choice>
        </mc:AlternateContent>
        <mc:AlternateContent xmlns:mc="http://schemas.openxmlformats.org/markup-compatibility/2006">
          <mc:Choice Requires="x14">
            <control shapeId="16387" r:id="rId9" name="Check Box 3">
              <controlPr defaultSize="0" autoFill="0" autoLine="0" autoPict="0">
                <anchor moveWithCells="1">
                  <from>
                    <xdr:col>6</xdr:col>
                    <xdr:colOff>129540</xdr:colOff>
                    <xdr:row>1</xdr:row>
                    <xdr:rowOff>274320</xdr:rowOff>
                  </from>
                  <to>
                    <xdr:col>7</xdr:col>
                    <xdr:colOff>38100</xdr:colOff>
                    <xdr:row>1</xdr:row>
                    <xdr:rowOff>495300</xdr:rowOff>
                  </to>
                </anchor>
              </controlPr>
            </control>
          </mc:Choice>
        </mc:AlternateContent>
        <mc:AlternateContent xmlns:mc="http://schemas.openxmlformats.org/markup-compatibility/2006">
          <mc:Choice Requires="x14">
            <control shapeId="16388" r:id="rId10" name="Check Box 4">
              <controlPr defaultSize="0" autoFill="0" autoLine="0" autoPict="0">
                <anchor moveWithCells="1">
                  <from>
                    <xdr:col>9</xdr:col>
                    <xdr:colOff>243840</xdr:colOff>
                    <xdr:row>1</xdr:row>
                    <xdr:rowOff>289560</xdr:rowOff>
                  </from>
                  <to>
                    <xdr:col>10</xdr:col>
                    <xdr:colOff>358140</xdr:colOff>
                    <xdr:row>1</xdr:row>
                    <xdr:rowOff>510540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A5E0FC-E104-4B65-98EE-9858308BCD27}">
  <sheetPr codeName="Sheet17"/>
  <dimension ref="A1:L142"/>
  <sheetViews>
    <sheetView tabSelected="1" workbookViewId="0">
      <selection activeCell="K3" sqref="A1:L142"/>
    </sheetView>
  </sheetViews>
  <sheetFormatPr defaultRowHeight="14.4"/>
  <cols>
    <col min="1" max="1" width="11.44140625" bestFit="1" customWidth="1"/>
    <col min="2" max="2" width="15.44140625" bestFit="1" customWidth="1"/>
    <col min="3" max="3" width="7.6640625" bestFit="1" customWidth="1"/>
    <col min="4" max="9" width="5" bestFit="1" customWidth="1"/>
    <col min="10" max="10" width="6" bestFit="1" customWidth="1"/>
    <col min="11" max="11" width="8.77734375" bestFit="1" customWidth="1"/>
    <col min="12" max="12" width="7.77734375" bestFit="1" customWidth="1"/>
  </cols>
  <sheetData>
    <row r="1" spans="1:12" ht="42" thickBot="1">
      <c r="A1" s="71" t="s">
        <v>558</v>
      </c>
      <c r="B1" s="72" t="s">
        <v>559</v>
      </c>
      <c r="C1" s="72" t="s">
        <v>1</v>
      </c>
      <c r="D1" s="72" t="s">
        <v>560</v>
      </c>
      <c r="E1" s="72" t="s">
        <v>561</v>
      </c>
      <c r="F1" s="72" t="s">
        <v>562</v>
      </c>
      <c r="G1" s="72" t="s">
        <v>563</v>
      </c>
      <c r="H1" s="72" t="s">
        <v>564</v>
      </c>
      <c r="I1" s="72" t="s">
        <v>565</v>
      </c>
      <c r="J1" s="72" t="s">
        <v>566</v>
      </c>
      <c r="K1" s="72" t="s">
        <v>567</v>
      </c>
      <c r="L1" s="72" t="s">
        <v>568</v>
      </c>
    </row>
    <row r="2" spans="1:12" ht="15" thickBot="1">
      <c r="A2" s="73" t="s">
        <v>569</v>
      </c>
      <c r="B2" s="74" t="s">
        <v>570</v>
      </c>
      <c r="C2" s="74" t="s">
        <v>249</v>
      </c>
      <c r="D2" s="75">
        <v>49</v>
      </c>
      <c r="E2" s="75">
        <v>84</v>
      </c>
      <c r="F2" s="75">
        <v>98</v>
      </c>
      <c r="G2" s="75">
        <v>67</v>
      </c>
      <c r="H2" s="75">
        <v>41</v>
      </c>
      <c r="I2" s="75">
        <v>339</v>
      </c>
      <c r="J2" s="75">
        <v>500</v>
      </c>
      <c r="K2" s="77">
        <v>0.67800000000000005</v>
      </c>
      <c r="L2" s="77">
        <v>0.32200000000000001</v>
      </c>
    </row>
    <row r="3" spans="1:12" ht="15" thickBot="1">
      <c r="A3" s="73" t="s">
        <v>571</v>
      </c>
      <c r="B3" s="74" t="s">
        <v>572</v>
      </c>
      <c r="C3" s="74" t="s">
        <v>252</v>
      </c>
      <c r="D3" s="75">
        <v>44</v>
      </c>
      <c r="E3" s="75">
        <v>85</v>
      </c>
      <c r="F3" s="75">
        <v>47</v>
      </c>
      <c r="G3" s="75">
        <v>15</v>
      </c>
      <c r="H3" s="75">
        <v>48</v>
      </c>
      <c r="I3" s="75">
        <v>239</v>
      </c>
      <c r="J3" s="75">
        <v>500</v>
      </c>
      <c r="K3" s="77">
        <v>0.47799999999999998</v>
      </c>
      <c r="L3" s="77">
        <v>0.52200000000000002</v>
      </c>
    </row>
    <row r="4" spans="1:12" ht="15" thickBot="1">
      <c r="A4" s="73" t="s">
        <v>573</v>
      </c>
      <c r="B4" s="74" t="s">
        <v>574</v>
      </c>
      <c r="C4" s="74" t="s">
        <v>231</v>
      </c>
      <c r="D4" s="75">
        <v>45</v>
      </c>
      <c r="E4" s="75">
        <v>79</v>
      </c>
      <c r="F4" s="75">
        <v>88</v>
      </c>
      <c r="G4" s="75">
        <v>73</v>
      </c>
      <c r="H4" s="75">
        <v>94</v>
      </c>
      <c r="I4" s="75">
        <v>379</v>
      </c>
      <c r="J4" s="75">
        <v>500</v>
      </c>
      <c r="K4" s="77">
        <v>0.75800000000000001</v>
      </c>
      <c r="L4" s="77">
        <v>0.24199999999999999</v>
      </c>
    </row>
    <row r="5" spans="1:12" ht="15" thickBot="1">
      <c r="A5" s="73" t="s">
        <v>575</v>
      </c>
      <c r="B5" s="74" t="s">
        <v>576</v>
      </c>
      <c r="C5" s="74" t="s">
        <v>255</v>
      </c>
      <c r="D5" s="75">
        <v>52</v>
      </c>
      <c r="E5" s="75">
        <v>99</v>
      </c>
      <c r="F5" s="75">
        <v>13</v>
      </c>
      <c r="G5" s="75">
        <v>95</v>
      </c>
      <c r="H5" s="75">
        <v>29</v>
      </c>
      <c r="I5" s="75">
        <v>288</v>
      </c>
      <c r="J5" s="75">
        <v>500</v>
      </c>
      <c r="K5" s="77">
        <v>0.57599999999999996</v>
      </c>
      <c r="L5" s="77">
        <v>0.42399999999999999</v>
      </c>
    </row>
    <row r="6" spans="1:12" ht="15" thickBot="1">
      <c r="A6" s="73" t="s">
        <v>577</v>
      </c>
      <c r="B6" s="74" t="s">
        <v>578</v>
      </c>
      <c r="C6" s="74" t="s">
        <v>274</v>
      </c>
      <c r="D6" s="75">
        <v>35</v>
      </c>
      <c r="E6" s="75">
        <v>54</v>
      </c>
      <c r="F6" s="75">
        <v>49</v>
      </c>
      <c r="G6" s="75">
        <v>26</v>
      </c>
      <c r="H6" s="75">
        <v>49</v>
      </c>
      <c r="I6" s="75">
        <v>213</v>
      </c>
      <c r="J6" s="75">
        <v>500</v>
      </c>
      <c r="K6" s="77">
        <v>0.42599999999999999</v>
      </c>
      <c r="L6" s="77">
        <v>0.57399999999999995</v>
      </c>
    </row>
    <row r="7" spans="1:12" ht="15" thickBot="1">
      <c r="A7" s="73" t="s">
        <v>579</v>
      </c>
      <c r="B7" s="74" t="s">
        <v>580</v>
      </c>
      <c r="C7" s="74" t="s">
        <v>581</v>
      </c>
      <c r="D7" s="75">
        <v>86</v>
      </c>
      <c r="E7" s="75">
        <v>31</v>
      </c>
      <c r="F7" s="75">
        <v>23</v>
      </c>
      <c r="G7" s="75">
        <v>48</v>
      </c>
      <c r="H7" s="75">
        <v>77</v>
      </c>
      <c r="I7" s="75">
        <v>265</v>
      </c>
      <c r="J7" s="75">
        <v>500</v>
      </c>
      <c r="K7" s="77">
        <v>0.53</v>
      </c>
      <c r="L7" s="77">
        <v>0.47</v>
      </c>
    </row>
    <row r="8" spans="1:12" ht="15" thickBot="1">
      <c r="A8" s="73" t="s">
        <v>582</v>
      </c>
      <c r="B8" s="74" t="s">
        <v>583</v>
      </c>
      <c r="C8" s="74" t="s">
        <v>584</v>
      </c>
      <c r="D8" s="75">
        <v>84</v>
      </c>
      <c r="E8" s="75">
        <v>28</v>
      </c>
      <c r="F8" s="75">
        <v>98</v>
      </c>
      <c r="G8" s="75">
        <v>80</v>
      </c>
      <c r="H8" s="75">
        <v>79</v>
      </c>
      <c r="I8" s="75">
        <v>369</v>
      </c>
      <c r="J8" s="75">
        <v>500</v>
      </c>
      <c r="K8" s="77">
        <v>0.73799999999999999</v>
      </c>
      <c r="L8" s="77">
        <v>0.26200000000000001</v>
      </c>
    </row>
    <row r="9" spans="1:12" ht="15" thickBot="1">
      <c r="A9" s="73" t="s">
        <v>585</v>
      </c>
      <c r="B9" s="74" t="s">
        <v>586</v>
      </c>
      <c r="C9" s="74" t="s">
        <v>276</v>
      </c>
      <c r="D9" s="75">
        <v>73</v>
      </c>
      <c r="E9" s="75">
        <v>97</v>
      </c>
      <c r="F9" s="75">
        <v>38</v>
      </c>
      <c r="G9" s="75">
        <v>24</v>
      </c>
      <c r="H9" s="75">
        <v>53</v>
      </c>
      <c r="I9" s="75">
        <v>285</v>
      </c>
      <c r="J9" s="75">
        <v>500</v>
      </c>
      <c r="K9" s="77">
        <v>0.56999999999999995</v>
      </c>
      <c r="L9" s="77">
        <v>0.43</v>
      </c>
    </row>
    <row r="10" spans="1:12" ht="15" thickBot="1">
      <c r="A10" s="73" t="s">
        <v>587</v>
      </c>
      <c r="B10" s="74" t="s">
        <v>588</v>
      </c>
      <c r="C10" s="74" t="s">
        <v>249</v>
      </c>
      <c r="D10" s="75">
        <v>54</v>
      </c>
      <c r="E10" s="75">
        <v>26</v>
      </c>
      <c r="F10" s="75">
        <v>53</v>
      </c>
      <c r="G10" s="75">
        <v>36</v>
      </c>
      <c r="H10" s="75">
        <v>20</v>
      </c>
      <c r="I10" s="75">
        <v>189</v>
      </c>
      <c r="J10" s="75">
        <v>500</v>
      </c>
      <c r="K10" s="77">
        <v>0.378</v>
      </c>
      <c r="L10" s="77">
        <v>0.622</v>
      </c>
    </row>
    <row r="11" spans="1:12" ht="29.4" thickBot="1">
      <c r="A11" s="73" t="s">
        <v>589</v>
      </c>
      <c r="B11" s="74" t="s">
        <v>590</v>
      </c>
      <c r="C11" s="74" t="s">
        <v>252</v>
      </c>
      <c r="D11" s="75">
        <v>52</v>
      </c>
      <c r="E11" s="75">
        <v>52</v>
      </c>
      <c r="F11" s="75">
        <v>19</v>
      </c>
      <c r="G11" s="75">
        <v>53</v>
      </c>
      <c r="H11" s="75">
        <v>37</v>
      </c>
      <c r="I11" s="75">
        <v>213</v>
      </c>
      <c r="J11" s="75">
        <v>500</v>
      </c>
      <c r="K11" s="77">
        <v>0.42599999999999999</v>
      </c>
      <c r="L11" s="77">
        <v>0.57399999999999995</v>
      </c>
    </row>
    <row r="12" spans="1:12" ht="29.4" thickBot="1">
      <c r="A12" s="73" t="s">
        <v>591</v>
      </c>
      <c r="B12" s="74" t="s">
        <v>592</v>
      </c>
      <c r="C12" s="74" t="s">
        <v>231</v>
      </c>
      <c r="D12" s="75">
        <v>63</v>
      </c>
      <c r="E12" s="75">
        <v>17</v>
      </c>
      <c r="F12" s="75">
        <v>40</v>
      </c>
      <c r="G12" s="75">
        <v>48</v>
      </c>
      <c r="H12" s="75">
        <v>51</v>
      </c>
      <c r="I12" s="75">
        <v>219</v>
      </c>
      <c r="J12" s="75">
        <v>500</v>
      </c>
      <c r="K12" s="77">
        <v>0.438</v>
      </c>
      <c r="L12" s="77">
        <v>0.56200000000000006</v>
      </c>
    </row>
    <row r="13" spans="1:12" ht="15" thickBot="1">
      <c r="A13" s="73" t="s">
        <v>593</v>
      </c>
      <c r="B13" s="74" t="s">
        <v>594</v>
      </c>
      <c r="C13" s="74" t="s">
        <v>255</v>
      </c>
      <c r="D13" s="75">
        <v>79</v>
      </c>
      <c r="E13" s="75">
        <v>99</v>
      </c>
      <c r="F13" s="75">
        <v>95</v>
      </c>
      <c r="G13" s="75">
        <v>12</v>
      </c>
      <c r="H13" s="75">
        <v>91</v>
      </c>
      <c r="I13" s="75">
        <v>376</v>
      </c>
      <c r="J13" s="75">
        <v>500</v>
      </c>
      <c r="K13" s="77">
        <v>0.752</v>
      </c>
      <c r="L13" s="77">
        <v>0.248</v>
      </c>
    </row>
    <row r="14" spans="1:12" ht="15" thickBot="1">
      <c r="A14" s="73" t="s">
        <v>595</v>
      </c>
      <c r="B14" s="74" t="s">
        <v>596</v>
      </c>
      <c r="C14" s="74" t="s">
        <v>274</v>
      </c>
      <c r="D14" s="78">
        <v>95</v>
      </c>
      <c r="E14" s="75">
        <v>88</v>
      </c>
      <c r="F14" s="75">
        <v>11</v>
      </c>
      <c r="G14" s="75">
        <v>78</v>
      </c>
      <c r="H14" s="75">
        <v>60</v>
      </c>
      <c r="I14" s="75">
        <v>332</v>
      </c>
      <c r="J14" s="75">
        <v>500</v>
      </c>
      <c r="K14" s="77">
        <v>0.66400000000000003</v>
      </c>
      <c r="L14" s="77">
        <v>0.33600000000000002</v>
      </c>
    </row>
    <row r="15" spans="1:12" ht="15" thickBot="1">
      <c r="A15" s="73" t="s">
        <v>597</v>
      </c>
      <c r="B15" s="74" t="s">
        <v>598</v>
      </c>
      <c r="C15" s="74" t="s">
        <v>581</v>
      </c>
      <c r="D15" s="75">
        <v>83</v>
      </c>
      <c r="E15" s="75">
        <v>77</v>
      </c>
      <c r="F15" s="75">
        <v>66</v>
      </c>
      <c r="G15" s="75">
        <v>22</v>
      </c>
      <c r="H15" s="75">
        <v>40</v>
      </c>
      <c r="I15" s="75">
        <v>288</v>
      </c>
      <c r="J15" s="75">
        <v>500</v>
      </c>
      <c r="K15" s="77">
        <v>0.57599999999999996</v>
      </c>
      <c r="L15" s="77">
        <v>0.42399999999999999</v>
      </c>
    </row>
    <row r="16" spans="1:12" ht="15" thickBot="1">
      <c r="A16" s="73" t="s">
        <v>599</v>
      </c>
      <c r="B16" s="74" t="s">
        <v>600</v>
      </c>
      <c r="C16" s="74" t="s">
        <v>584</v>
      </c>
      <c r="D16" s="75">
        <v>78</v>
      </c>
      <c r="E16" s="75">
        <v>58</v>
      </c>
      <c r="F16" s="75">
        <v>34</v>
      </c>
      <c r="G16" s="75">
        <v>84</v>
      </c>
      <c r="H16" s="75">
        <v>31</v>
      </c>
      <c r="I16" s="75">
        <v>285</v>
      </c>
      <c r="J16" s="75">
        <v>500</v>
      </c>
      <c r="K16" s="77">
        <v>0.56999999999999995</v>
      </c>
      <c r="L16" s="77">
        <v>0.43</v>
      </c>
    </row>
    <row r="17" spans="1:12" ht="15" thickBot="1">
      <c r="A17" s="73" t="s">
        <v>601</v>
      </c>
      <c r="B17" s="74" t="s">
        <v>602</v>
      </c>
      <c r="C17" s="74" t="s">
        <v>276</v>
      </c>
      <c r="D17" s="75">
        <v>14</v>
      </c>
      <c r="E17" s="75">
        <v>25</v>
      </c>
      <c r="F17" s="75">
        <v>45</v>
      </c>
      <c r="G17" s="75">
        <v>70</v>
      </c>
      <c r="H17" s="75">
        <v>45</v>
      </c>
      <c r="I17" s="75">
        <v>199</v>
      </c>
      <c r="J17" s="75">
        <v>500</v>
      </c>
      <c r="K17" s="77">
        <v>0.39800000000000002</v>
      </c>
      <c r="L17" s="77">
        <v>0.60199999999999998</v>
      </c>
    </row>
    <row r="18" spans="1:12" ht="15" thickBot="1">
      <c r="A18" s="73" t="s">
        <v>603</v>
      </c>
      <c r="B18" s="74" t="s">
        <v>604</v>
      </c>
      <c r="C18" s="74" t="s">
        <v>249</v>
      </c>
      <c r="D18" s="75">
        <v>37</v>
      </c>
      <c r="E18" s="75">
        <v>69</v>
      </c>
      <c r="F18" s="75">
        <v>96</v>
      </c>
      <c r="G18" s="75">
        <v>66</v>
      </c>
      <c r="H18" s="75">
        <v>38</v>
      </c>
      <c r="I18" s="75">
        <v>306</v>
      </c>
      <c r="J18" s="75">
        <v>500</v>
      </c>
      <c r="K18" s="77">
        <v>0.61199999999999999</v>
      </c>
      <c r="L18" s="77">
        <v>0.38800000000000001</v>
      </c>
    </row>
    <row r="19" spans="1:12" ht="15" thickBot="1">
      <c r="A19" s="73" t="s">
        <v>605</v>
      </c>
      <c r="B19" s="74" t="s">
        <v>606</v>
      </c>
      <c r="C19" s="74" t="s">
        <v>252</v>
      </c>
      <c r="D19" s="75">
        <v>11</v>
      </c>
      <c r="E19" s="75">
        <v>46</v>
      </c>
      <c r="F19" s="75">
        <v>91</v>
      </c>
      <c r="G19" s="75">
        <v>98</v>
      </c>
      <c r="H19" s="75">
        <v>45</v>
      </c>
      <c r="I19" s="75">
        <v>291</v>
      </c>
      <c r="J19" s="75">
        <v>500</v>
      </c>
      <c r="K19" s="77">
        <v>0.58199999999999996</v>
      </c>
      <c r="L19" s="77">
        <v>0.41799999999999998</v>
      </c>
    </row>
    <row r="20" spans="1:12" ht="15" thickBot="1">
      <c r="A20" s="73" t="s">
        <v>607</v>
      </c>
      <c r="B20" s="74" t="s">
        <v>608</v>
      </c>
      <c r="C20" s="74" t="s">
        <v>231</v>
      </c>
      <c r="D20" s="75">
        <v>19</v>
      </c>
      <c r="E20" s="75">
        <v>34</v>
      </c>
      <c r="F20" s="75">
        <v>64</v>
      </c>
      <c r="G20" s="75">
        <v>65</v>
      </c>
      <c r="H20" s="75">
        <v>70</v>
      </c>
      <c r="I20" s="75">
        <v>252</v>
      </c>
      <c r="J20" s="75">
        <v>500</v>
      </c>
      <c r="K20" s="77">
        <v>0.504</v>
      </c>
      <c r="L20" s="77">
        <v>0.496</v>
      </c>
    </row>
    <row r="21" spans="1:12" ht="15" thickBot="1">
      <c r="A21" s="73" t="s">
        <v>609</v>
      </c>
      <c r="B21" s="74" t="s">
        <v>610</v>
      </c>
      <c r="C21" s="74" t="s">
        <v>255</v>
      </c>
      <c r="D21" s="75">
        <v>93</v>
      </c>
      <c r="E21" s="75">
        <v>84</v>
      </c>
      <c r="F21" s="75">
        <v>13</v>
      </c>
      <c r="G21" s="75">
        <v>45</v>
      </c>
      <c r="H21" s="75">
        <v>18</v>
      </c>
      <c r="I21" s="75">
        <v>253</v>
      </c>
      <c r="J21" s="75">
        <v>500</v>
      </c>
      <c r="K21" s="77">
        <v>0.50600000000000001</v>
      </c>
      <c r="L21" s="77">
        <v>0.49399999999999999</v>
      </c>
    </row>
    <row r="22" spans="1:12" ht="15" thickBot="1">
      <c r="A22" s="73" t="s">
        <v>611</v>
      </c>
      <c r="B22" s="74" t="s">
        <v>612</v>
      </c>
      <c r="C22" s="74" t="s">
        <v>274</v>
      </c>
      <c r="D22" s="75">
        <v>68</v>
      </c>
      <c r="E22" s="75">
        <v>73</v>
      </c>
      <c r="F22" s="75">
        <v>97</v>
      </c>
      <c r="G22" s="75">
        <v>76</v>
      </c>
      <c r="H22" s="75">
        <v>53</v>
      </c>
      <c r="I22" s="75">
        <v>367</v>
      </c>
      <c r="J22" s="75">
        <v>500</v>
      </c>
      <c r="K22" s="77">
        <v>0.73399999999999999</v>
      </c>
      <c r="L22" s="77">
        <v>0.26600000000000001</v>
      </c>
    </row>
    <row r="23" spans="1:12" ht="15" thickBot="1">
      <c r="A23" s="73" t="s">
        <v>613</v>
      </c>
      <c r="B23" s="74" t="s">
        <v>614</v>
      </c>
      <c r="C23" s="74" t="s">
        <v>581</v>
      </c>
      <c r="D23" s="75">
        <v>99</v>
      </c>
      <c r="E23" s="75">
        <v>17</v>
      </c>
      <c r="F23" s="75">
        <v>48</v>
      </c>
      <c r="G23" s="75">
        <v>44</v>
      </c>
      <c r="H23" s="75">
        <v>93</v>
      </c>
      <c r="I23" s="75">
        <v>301</v>
      </c>
      <c r="J23" s="75">
        <v>500</v>
      </c>
      <c r="K23" s="77">
        <v>0.60199999999999998</v>
      </c>
      <c r="L23" s="77">
        <v>0.39800000000000002</v>
      </c>
    </row>
    <row r="24" spans="1:12" ht="15" thickBot="1">
      <c r="A24" s="73" t="s">
        <v>615</v>
      </c>
      <c r="B24" s="74" t="s">
        <v>616</v>
      </c>
      <c r="C24" s="74" t="s">
        <v>584</v>
      </c>
      <c r="D24" s="75">
        <v>57</v>
      </c>
      <c r="E24" s="75">
        <v>28</v>
      </c>
      <c r="F24" s="75">
        <v>31</v>
      </c>
      <c r="G24" s="75">
        <v>34</v>
      </c>
      <c r="H24" s="75">
        <v>52</v>
      </c>
      <c r="I24" s="75">
        <v>202</v>
      </c>
      <c r="J24" s="75">
        <v>500</v>
      </c>
      <c r="K24" s="77">
        <v>0.40400000000000003</v>
      </c>
      <c r="L24" s="77">
        <v>0.59599999999999997</v>
      </c>
    </row>
    <row r="25" spans="1:12" ht="15" thickBot="1">
      <c r="A25" s="73" t="s">
        <v>617</v>
      </c>
      <c r="B25" s="74" t="s">
        <v>618</v>
      </c>
      <c r="C25" s="74" t="s">
        <v>276</v>
      </c>
      <c r="D25" s="75">
        <v>40</v>
      </c>
      <c r="E25" s="75">
        <v>22</v>
      </c>
      <c r="F25" s="75">
        <v>18</v>
      </c>
      <c r="G25" s="75">
        <v>11</v>
      </c>
      <c r="H25" s="75">
        <v>92</v>
      </c>
      <c r="I25" s="75">
        <v>183</v>
      </c>
      <c r="J25" s="75">
        <v>500</v>
      </c>
      <c r="K25" s="77">
        <v>0.36599999999999999</v>
      </c>
      <c r="L25" s="77">
        <v>0.63400000000000001</v>
      </c>
    </row>
    <row r="26" spans="1:12" ht="15" thickBot="1">
      <c r="A26" s="73" t="s">
        <v>619</v>
      </c>
      <c r="B26" s="74" t="s">
        <v>620</v>
      </c>
      <c r="C26" s="74" t="s">
        <v>249</v>
      </c>
      <c r="D26" s="75">
        <v>47</v>
      </c>
      <c r="E26" s="75">
        <v>99</v>
      </c>
      <c r="F26" s="75">
        <v>94</v>
      </c>
      <c r="G26" s="75">
        <v>75</v>
      </c>
      <c r="H26" s="75">
        <v>29</v>
      </c>
      <c r="I26" s="75">
        <v>344</v>
      </c>
      <c r="J26" s="75">
        <v>500</v>
      </c>
      <c r="K26" s="77">
        <v>0.68799999999999994</v>
      </c>
      <c r="L26" s="77">
        <v>0.312</v>
      </c>
    </row>
    <row r="27" spans="1:12" ht="15" thickBot="1">
      <c r="A27" s="73" t="s">
        <v>621</v>
      </c>
      <c r="B27" s="74" t="s">
        <v>622</v>
      </c>
      <c r="C27" s="74" t="s">
        <v>252</v>
      </c>
      <c r="D27" s="75">
        <v>16</v>
      </c>
      <c r="E27" s="75">
        <v>71</v>
      </c>
      <c r="F27" s="75">
        <v>80</v>
      </c>
      <c r="G27" s="75">
        <v>76</v>
      </c>
      <c r="H27" s="75">
        <v>33</v>
      </c>
      <c r="I27" s="75">
        <v>276</v>
      </c>
      <c r="J27" s="75">
        <v>500</v>
      </c>
      <c r="K27" s="77">
        <v>0.55200000000000005</v>
      </c>
      <c r="L27" s="77">
        <v>0.44800000000000001</v>
      </c>
    </row>
    <row r="28" spans="1:12" ht="29.4" thickBot="1">
      <c r="A28" s="73" t="s">
        <v>623</v>
      </c>
      <c r="B28" s="74" t="s">
        <v>624</v>
      </c>
      <c r="C28" s="74" t="s">
        <v>231</v>
      </c>
      <c r="D28" s="75">
        <v>72</v>
      </c>
      <c r="E28" s="75">
        <v>87</v>
      </c>
      <c r="F28" s="75">
        <v>92</v>
      </c>
      <c r="G28" s="75">
        <v>72</v>
      </c>
      <c r="H28" s="75">
        <v>34</v>
      </c>
      <c r="I28" s="75">
        <v>357</v>
      </c>
      <c r="J28" s="75">
        <v>500</v>
      </c>
      <c r="K28" s="77">
        <v>0.71399999999999997</v>
      </c>
      <c r="L28" s="77">
        <v>0.28599999999999998</v>
      </c>
    </row>
    <row r="29" spans="1:12" ht="15" thickBot="1">
      <c r="A29" s="73" t="s">
        <v>625</v>
      </c>
      <c r="B29" s="74" t="s">
        <v>626</v>
      </c>
      <c r="C29" s="74" t="s">
        <v>255</v>
      </c>
      <c r="D29" s="75">
        <v>30</v>
      </c>
      <c r="E29" s="75">
        <v>38</v>
      </c>
      <c r="F29" s="75">
        <v>70</v>
      </c>
      <c r="G29" s="75">
        <v>89</v>
      </c>
      <c r="H29" s="75">
        <v>97</v>
      </c>
      <c r="I29" s="75">
        <v>324</v>
      </c>
      <c r="J29" s="75">
        <v>500</v>
      </c>
      <c r="K29" s="77">
        <v>0.64800000000000002</v>
      </c>
      <c r="L29" s="77">
        <v>0.35199999999999998</v>
      </c>
    </row>
    <row r="30" spans="1:12" ht="15" thickBot="1">
      <c r="A30" s="73" t="s">
        <v>627</v>
      </c>
      <c r="B30" s="74" t="s">
        <v>628</v>
      </c>
      <c r="C30" s="74" t="s">
        <v>274</v>
      </c>
      <c r="D30" s="75">
        <v>65</v>
      </c>
      <c r="E30" s="75">
        <v>90</v>
      </c>
      <c r="F30" s="75">
        <v>91</v>
      </c>
      <c r="G30" s="75">
        <v>85</v>
      </c>
      <c r="H30" s="75">
        <v>10</v>
      </c>
      <c r="I30" s="75">
        <v>341</v>
      </c>
      <c r="J30" s="75">
        <v>500</v>
      </c>
      <c r="K30" s="77">
        <v>0.68200000000000005</v>
      </c>
      <c r="L30" s="77">
        <v>0.318</v>
      </c>
    </row>
    <row r="31" spans="1:12" ht="15" thickBot="1">
      <c r="A31" s="73" t="s">
        <v>629</v>
      </c>
      <c r="B31" s="74" t="s">
        <v>630</v>
      </c>
      <c r="C31" s="74" t="s">
        <v>581</v>
      </c>
      <c r="D31" s="75">
        <v>83</v>
      </c>
      <c r="E31" s="75">
        <v>46</v>
      </c>
      <c r="F31" s="75">
        <v>99</v>
      </c>
      <c r="G31" s="75">
        <v>36</v>
      </c>
      <c r="H31" s="75">
        <v>89</v>
      </c>
      <c r="I31" s="75">
        <v>353</v>
      </c>
      <c r="J31" s="75">
        <v>500</v>
      </c>
      <c r="K31" s="77">
        <v>0.70599999999999996</v>
      </c>
      <c r="L31" s="77">
        <v>0.29399999999999998</v>
      </c>
    </row>
    <row r="32" spans="1:12" ht="15" thickBot="1">
      <c r="A32" s="73" t="s">
        <v>631</v>
      </c>
      <c r="B32" s="74" t="s">
        <v>632</v>
      </c>
      <c r="C32" s="74" t="s">
        <v>584</v>
      </c>
      <c r="D32" s="75">
        <v>10</v>
      </c>
      <c r="E32" s="75">
        <v>66</v>
      </c>
      <c r="F32" s="75">
        <v>40</v>
      </c>
      <c r="G32" s="75">
        <v>22</v>
      </c>
      <c r="H32" s="75">
        <v>38</v>
      </c>
      <c r="I32" s="75">
        <v>176</v>
      </c>
      <c r="J32" s="75">
        <v>500</v>
      </c>
      <c r="K32" s="77">
        <v>0.35199999999999998</v>
      </c>
      <c r="L32" s="77">
        <v>0.64800000000000002</v>
      </c>
    </row>
    <row r="33" spans="1:12" ht="15" thickBot="1">
      <c r="A33" s="73" t="s">
        <v>633</v>
      </c>
      <c r="B33" s="74" t="s">
        <v>634</v>
      </c>
      <c r="C33" s="74" t="s">
        <v>276</v>
      </c>
      <c r="D33" s="75">
        <v>37</v>
      </c>
      <c r="E33" s="75">
        <v>30</v>
      </c>
      <c r="F33" s="75">
        <v>19</v>
      </c>
      <c r="G33" s="75">
        <v>77</v>
      </c>
      <c r="H33" s="75">
        <v>67</v>
      </c>
      <c r="I33" s="75">
        <v>230</v>
      </c>
      <c r="J33" s="75">
        <v>500</v>
      </c>
      <c r="K33" s="77">
        <v>0.46</v>
      </c>
      <c r="L33" s="77">
        <v>0.54</v>
      </c>
    </row>
    <row r="34" spans="1:12" ht="15" thickBot="1">
      <c r="A34" s="73" t="s">
        <v>635</v>
      </c>
      <c r="B34" s="74" t="s">
        <v>636</v>
      </c>
      <c r="C34" s="74" t="s">
        <v>249</v>
      </c>
      <c r="D34" s="75">
        <v>83</v>
      </c>
      <c r="E34" s="75">
        <v>46</v>
      </c>
      <c r="F34" s="75">
        <v>17</v>
      </c>
      <c r="G34" s="75">
        <v>94</v>
      </c>
      <c r="H34" s="75">
        <v>92</v>
      </c>
      <c r="I34" s="75">
        <v>332</v>
      </c>
      <c r="J34" s="75">
        <v>500</v>
      </c>
      <c r="K34" s="77">
        <v>0.66400000000000003</v>
      </c>
      <c r="L34" s="77">
        <v>0.33600000000000002</v>
      </c>
    </row>
    <row r="35" spans="1:12" ht="15" thickBot="1">
      <c r="A35" s="73" t="s">
        <v>637</v>
      </c>
      <c r="B35" s="74" t="s">
        <v>638</v>
      </c>
      <c r="C35" s="74" t="s">
        <v>252</v>
      </c>
      <c r="D35" s="75">
        <v>84</v>
      </c>
      <c r="E35" s="75">
        <v>59</v>
      </c>
      <c r="F35" s="75">
        <v>41</v>
      </c>
      <c r="G35" s="75">
        <v>17</v>
      </c>
      <c r="H35" s="75">
        <v>22</v>
      </c>
      <c r="I35" s="75">
        <v>223</v>
      </c>
      <c r="J35" s="75">
        <v>500</v>
      </c>
      <c r="K35" s="77">
        <v>0.44600000000000001</v>
      </c>
      <c r="L35" s="77">
        <v>0.55400000000000005</v>
      </c>
    </row>
    <row r="36" spans="1:12" ht="15" thickBot="1">
      <c r="A36" s="73" t="s">
        <v>639</v>
      </c>
      <c r="B36" s="74" t="s">
        <v>640</v>
      </c>
      <c r="C36" s="74" t="s">
        <v>231</v>
      </c>
      <c r="D36" s="75">
        <v>82</v>
      </c>
      <c r="E36" s="75">
        <v>54</v>
      </c>
      <c r="F36" s="75">
        <v>79</v>
      </c>
      <c r="G36" s="75">
        <v>61</v>
      </c>
      <c r="H36" s="75">
        <v>47</v>
      </c>
      <c r="I36" s="75">
        <v>323</v>
      </c>
      <c r="J36" s="75">
        <v>500</v>
      </c>
      <c r="K36" s="77">
        <v>0.64600000000000002</v>
      </c>
      <c r="L36" s="77">
        <v>0.35399999999999998</v>
      </c>
    </row>
    <row r="37" spans="1:12" ht="15" thickBot="1">
      <c r="A37" s="73" t="s">
        <v>641</v>
      </c>
      <c r="B37" s="74" t="s">
        <v>642</v>
      </c>
      <c r="C37" s="74" t="s">
        <v>255</v>
      </c>
      <c r="D37" s="75">
        <v>47</v>
      </c>
      <c r="E37" s="75">
        <v>23</v>
      </c>
      <c r="F37" s="75">
        <v>19</v>
      </c>
      <c r="G37" s="75">
        <v>64</v>
      </c>
      <c r="H37" s="75">
        <v>61</v>
      </c>
      <c r="I37" s="75">
        <v>214</v>
      </c>
      <c r="J37" s="75">
        <v>500</v>
      </c>
      <c r="K37" s="77">
        <v>0.42799999999999999</v>
      </c>
      <c r="L37" s="77">
        <v>0.57199999999999995</v>
      </c>
    </row>
    <row r="38" spans="1:12" ht="15" thickBot="1">
      <c r="A38" s="73" t="s">
        <v>643</v>
      </c>
      <c r="B38" s="74" t="s">
        <v>644</v>
      </c>
      <c r="C38" s="74" t="s">
        <v>274</v>
      </c>
      <c r="D38" s="75">
        <v>91</v>
      </c>
      <c r="E38" s="75">
        <v>13</v>
      </c>
      <c r="F38" s="75">
        <v>79</v>
      </c>
      <c r="G38" s="75">
        <v>85</v>
      </c>
      <c r="H38" s="75">
        <v>67</v>
      </c>
      <c r="I38" s="75">
        <v>335</v>
      </c>
      <c r="J38" s="75">
        <v>500</v>
      </c>
      <c r="K38" s="77">
        <v>0.67</v>
      </c>
      <c r="L38" s="77">
        <v>0.33</v>
      </c>
    </row>
    <row r="39" spans="1:12" ht="15" thickBot="1">
      <c r="A39" s="73" t="s">
        <v>645</v>
      </c>
      <c r="B39" s="74" t="s">
        <v>646</v>
      </c>
      <c r="C39" s="74" t="s">
        <v>581</v>
      </c>
      <c r="D39" s="75">
        <v>66</v>
      </c>
      <c r="E39" s="75">
        <v>59</v>
      </c>
      <c r="F39" s="75">
        <v>25</v>
      </c>
      <c r="G39" s="75">
        <v>55</v>
      </c>
      <c r="H39" s="75">
        <v>59</v>
      </c>
      <c r="I39" s="75">
        <v>264</v>
      </c>
      <c r="J39" s="75">
        <v>500</v>
      </c>
      <c r="K39" s="77">
        <v>0.52800000000000002</v>
      </c>
      <c r="L39" s="77">
        <v>0.47199999999999998</v>
      </c>
    </row>
    <row r="40" spans="1:12" ht="15" thickBot="1">
      <c r="A40" s="73" t="s">
        <v>647</v>
      </c>
      <c r="B40" s="74" t="s">
        <v>648</v>
      </c>
      <c r="C40" s="74" t="s">
        <v>584</v>
      </c>
      <c r="D40" s="75">
        <v>70</v>
      </c>
      <c r="E40" s="75">
        <v>18</v>
      </c>
      <c r="F40" s="75">
        <v>88</v>
      </c>
      <c r="G40" s="75">
        <v>46</v>
      </c>
      <c r="H40" s="75">
        <v>52</v>
      </c>
      <c r="I40" s="75">
        <v>274</v>
      </c>
      <c r="J40" s="75">
        <v>500</v>
      </c>
      <c r="K40" s="77">
        <v>0.54800000000000004</v>
      </c>
      <c r="L40" s="77">
        <v>0.45200000000000001</v>
      </c>
    </row>
    <row r="41" spans="1:12" ht="15" thickBot="1">
      <c r="A41" s="73" t="s">
        <v>649</v>
      </c>
      <c r="B41" s="74" t="s">
        <v>650</v>
      </c>
      <c r="C41" s="74" t="s">
        <v>276</v>
      </c>
      <c r="D41" s="75">
        <v>37</v>
      </c>
      <c r="E41" s="75">
        <v>60</v>
      </c>
      <c r="F41" s="75">
        <v>44</v>
      </c>
      <c r="G41" s="75">
        <v>61</v>
      </c>
      <c r="H41" s="75">
        <v>30</v>
      </c>
      <c r="I41" s="75">
        <v>232</v>
      </c>
      <c r="J41" s="75">
        <v>500</v>
      </c>
      <c r="K41" s="77">
        <v>0.46400000000000002</v>
      </c>
      <c r="L41" s="77">
        <v>0.53600000000000003</v>
      </c>
    </row>
    <row r="42" spans="1:12" ht="15" thickBot="1">
      <c r="A42" s="73" t="s">
        <v>651</v>
      </c>
      <c r="B42" s="74" t="s">
        <v>652</v>
      </c>
      <c r="C42" s="74" t="s">
        <v>249</v>
      </c>
      <c r="D42" s="75">
        <v>16</v>
      </c>
      <c r="E42" s="75">
        <v>46</v>
      </c>
      <c r="F42" s="75">
        <v>33</v>
      </c>
      <c r="G42" s="75">
        <v>54</v>
      </c>
      <c r="H42" s="75">
        <v>58</v>
      </c>
      <c r="I42" s="75">
        <v>207</v>
      </c>
      <c r="J42" s="75">
        <v>500</v>
      </c>
      <c r="K42" s="77">
        <v>0.41399999999999998</v>
      </c>
      <c r="L42" s="77">
        <v>0.58599999999999997</v>
      </c>
    </row>
    <row r="43" spans="1:12" ht="15" thickBot="1">
      <c r="A43" s="73" t="s">
        <v>653</v>
      </c>
      <c r="B43" s="74" t="s">
        <v>654</v>
      </c>
      <c r="C43" s="74" t="s">
        <v>252</v>
      </c>
      <c r="D43" s="75">
        <v>47</v>
      </c>
      <c r="E43" s="75">
        <v>97</v>
      </c>
      <c r="F43" s="75">
        <v>74</v>
      </c>
      <c r="G43" s="75">
        <v>97</v>
      </c>
      <c r="H43" s="75">
        <v>56</v>
      </c>
      <c r="I43" s="75">
        <v>371</v>
      </c>
      <c r="J43" s="75">
        <v>500</v>
      </c>
      <c r="K43" s="77">
        <v>0.74199999999999999</v>
      </c>
      <c r="L43" s="77">
        <v>0.25800000000000001</v>
      </c>
    </row>
    <row r="44" spans="1:12" ht="15" thickBot="1">
      <c r="A44" s="73" t="s">
        <v>655</v>
      </c>
      <c r="B44" s="74" t="s">
        <v>656</v>
      </c>
      <c r="C44" s="74" t="s">
        <v>231</v>
      </c>
      <c r="D44" s="75">
        <v>86</v>
      </c>
      <c r="E44" s="75">
        <v>22</v>
      </c>
      <c r="F44" s="75">
        <v>10</v>
      </c>
      <c r="G44" s="75">
        <v>60</v>
      </c>
      <c r="H44" s="75">
        <v>28</v>
      </c>
      <c r="I44" s="75">
        <v>206</v>
      </c>
      <c r="J44" s="75">
        <v>500</v>
      </c>
      <c r="K44" s="77">
        <v>0.41199999999999998</v>
      </c>
      <c r="L44" s="77">
        <v>0.58799999999999997</v>
      </c>
    </row>
    <row r="45" spans="1:12" ht="15" thickBot="1">
      <c r="A45" s="73" t="s">
        <v>657</v>
      </c>
      <c r="B45" s="74" t="s">
        <v>658</v>
      </c>
      <c r="C45" s="74" t="s">
        <v>255</v>
      </c>
      <c r="D45" s="75">
        <v>74</v>
      </c>
      <c r="E45" s="75">
        <v>17</v>
      </c>
      <c r="F45" s="75">
        <v>45</v>
      </c>
      <c r="G45" s="75">
        <v>64</v>
      </c>
      <c r="H45" s="75">
        <v>13</v>
      </c>
      <c r="I45" s="75">
        <v>213</v>
      </c>
      <c r="J45" s="75">
        <v>500</v>
      </c>
      <c r="K45" s="77">
        <v>0.42599999999999999</v>
      </c>
      <c r="L45" s="77">
        <v>0.57399999999999995</v>
      </c>
    </row>
    <row r="46" spans="1:12" ht="15" thickBot="1">
      <c r="A46" s="73" t="s">
        <v>659</v>
      </c>
      <c r="B46" s="74" t="s">
        <v>660</v>
      </c>
      <c r="C46" s="74" t="s">
        <v>274</v>
      </c>
      <c r="D46" s="75">
        <v>80</v>
      </c>
      <c r="E46" s="75">
        <v>51</v>
      </c>
      <c r="F46" s="75">
        <v>15</v>
      </c>
      <c r="G46" s="75">
        <v>97</v>
      </c>
      <c r="H46" s="75">
        <v>42</v>
      </c>
      <c r="I46" s="75">
        <v>285</v>
      </c>
      <c r="J46" s="75">
        <v>500</v>
      </c>
      <c r="K46" s="77">
        <v>0.56999999999999995</v>
      </c>
      <c r="L46" s="77">
        <v>0.43</v>
      </c>
    </row>
    <row r="47" spans="1:12" ht="15" thickBot="1">
      <c r="A47" s="73" t="s">
        <v>661</v>
      </c>
      <c r="B47" s="74" t="s">
        <v>662</v>
      </c>
      <c r="C47" s="74" t="s">
        <v>581</v>
      </c>
      <c r="D47" s="75">
        <v>49</v>
      </c>
      <c r="E47" s="75">
        <v>82</v>
      </c>
      <c r="F47" s="75">
        <v>95</v>
      </c>
      <c r="G47" s="75">
        <v>46</v>
      </c>
      <c r="H47" s="75">
        <v>78</v>
      </c>
      <c r="I47" s="75">
        <v>350</v>
      </c>
      <c r="J47" s="75">
        <v>500</v>
      </c>
      <c r="K47" s="77">
        <v>0.7</v>
      </c>
      <c r="L47" s="77">
        <v>0.3</v>
      </c>
    </row>
    <row r="48" spans="1:12" ht="15" thickBot="1">
      <c r="A48" s="73" t="s">
        <v>663</v>
      </c>
      <c r="B48" s="74" t="s">
        <v>664</v>
      </c>
      <c r="C48" s="74" t="s">
        <v>584</v>
      </c>
      <c r="D48" s="75">
        <v>17</v>
      </c>
      <c r="E48" s="75">
        <v>88</v>
      </c>
      <c r="F48" s="75">
        <v>12</v>
      </c>
      <c r="G48" s="75">
        <v>54</v>
      </c>
      <c r="H48" s="75">
        <v>21</v>
      </c>
      <c r="I48" s="75">
        <v>192</v>
      </c>
      <c r="J48" s="75">
        <v>500</v>
      </c>
      <c r="K48" s="77">
        <v>0.38400000000000001</v>
      </c>
      <c r="L48" s="77">
        <v>0.61599999999999999</v>
      </c>
    </row>
    <row r="49" spans="1:12" ht="15" thickBot="1">
      <c r="A49" s="73" t="s">
        <v>665</v>
      </c>
      <c r="B49" s="74" t="s">
        <v>666</v>
      </c>
      <c r="C49" s="74" t="s">
        <v>276</v>
      </c>
      <c r="D49" s="75">
        <v>74</v>
      </c>
      <c r="E49" s="75">
        <v>16</v>
      </c>
      <c r="F49" s="75">
        <v>74</v>
      </c>
      <c r="G49" s="75">
        <v>36</v>
      </c>
      <c r="H49" s="75">
        <v>33</v>
      </c>
      <c r="I49" s="75">
        <v>233</v>
      </c>
      <c r="J49" s="75">
        <v>500</v>
      </c>
      <c r="K49" s="77">
        <v>0.46600000000000003</v>
      </c>
      <c r="L49" s="77">
        <v>0.53400000000000003</v>
      </c>
    </row>
    <row r="50" spans="1:12" ht="15" thickBot="1">
      <c r="A50" s="73" t="s">
        <v>667</v>
      </c>
      <c r="B50" s="74" t="s">
        <v>668</v>
      </c>
      <c r="C50" s="74" t="s">
        <v>249</v>
      </c>
      <c r="D50" s="75">
        <v>73</v>
      </c>
      <c r="E50" s="75">
        <v>72</v>
      </c>
      <c r="F50" s="75">
        <v>38</v>
      </c>
      <c r="G50" s="75">
        <v>19</v>
      </c>
      <c r="H50" s="75">
        <v>90</v>
      </c>
      <c r="I50" s="75">
        <v>292</v>
      </c>
      <c r="J50" s="75">
        <v>500</v>
      </c>
      <c r="K50" s="77">
        <v>0.58399999999999996</v>
      </c>
      <c r="L50" s="77">
        <v>0.41599999999999998</v>
      </c>
    </row>
    <row r="51" spans="1:12" ht="15" thickBot="1">
      <c r="A51" s="73" t="s">
        <v>669</v>
      </c>
      <c r="B51" s="74" t="s">
        <v>670</v>
      </c>
      <c r="C51" s="74" t="s">
        <v>252</v>
      </c>
      <c r="D51" s="75">
        <v>17</v>
      </c>
      <c r="E51" s="75">
        <v>84</v>
      </c>
      <c r="F51" s="75">
        <v>90</v>
      </c>
      <c r="G51" s="75">
        <v>77</v>
      </c>
      <c r="H51" s="75">
        <v>72</v>
      </c>
      <c r="I51" s="75">
        <v>340</v>
      </c>
      <c r="J51" s="75">
        <v>500</v>
      </c>
      <c r="K51" s="77">
        <v>0.68</v>
      </c>
      <c r="L51" s="77">
        <v>0.32</v>
      </c>
    </row>
    <row r="52" spans="1:12" ht="15" thickBot="1">
      <c r="A52" s="73" t="s">
        <v>671</v>
      </c>
      <c r="B52" s="74" t="s">
        <v>672</v>
      </c>
      <c r="C52" s="74" t="s">
        <v>231</v>
      </c>
      <c r="D52" s="75">
        <v>52</v>
      </c>
      <c r="E52" s="75">
        <v>36</v>
      </c>
      <c r="F52" s="75">
        <v>84</v>
      </c>
      <c r="G52" s="75">
        <v>41</v>
      </c>
      <c r="H52" s="75">
        <v>57</v>
      </c>
      <c r="I52" s="75">
        <v>270</v>
      </c>
      <c r="J52" s="75">
        <v>500</v>
      </c>
      <c r="K52" s="77">
        <v>0.54</v>
      </c>
      <c r="L52" s="77">
        <v>0.46</v>
      </c>
    </row>
    <row r="53" spans="1:12" ht="15" thickBot="1">
      <c r="A53" s="73" t="s">
        <v>673</v>
      </c>
      <c r="B53" s="74" t="s">
        <v>674</v>
      </c>
      <c r="C53" s="74" t="s">
        <v>255</v>
      </c>
      <c r="D53" s="75">
        <v>65</v>
      </c>
      <c r="E53" s="75">
        <v>67</v>
      </c>
      <c r="F53" s="75">
        <v>72</v>
      </c>
      <c r="G53" s="75">
        <v>22</v>
      </c>
      <c r="H53" s="75">
        <v>23</v>
      </c>
      <c r="I53" s="75">
        <v>249</v>
      </c>
      <c r="J53" s="75">
        <v>500</v>
      </c>
      <c r="K53" s="77">
        <v>0.498</v>
      </c>
      <c r="L53" s="77">
        <v>0.502</v>
      </c>
    </row>
    <row r="54" spans="1:12" ht="29.4" thickBot="1">
      <c r="A54" s="73" t="s">
        <v>675</v>
      </c>
      <c r="B54" s="74" t="s">
        <v>676</v>
      </c>
      <c r="C54" s="74" t="s">
        <v>274</v>
      </c>
      <c r="D54" s="75">
        <v>88</v>
      </c>
      <c r="E54" s="75">
        <v>39</v>
      </c>
      <c r="F54" s="75">
        <v>25</v>
      </c>
      <c r="G54" s="75">
        <v>99</v>
      </c>
      <c r="H54" s="75">
        <v>71</v>
      </c>
      <c r="I54" s="75">
        <v>322</v>
      </c>
      <c r="J54" s="75">
        <v>500</v>
      </c>
      <c r="K54" s="77">
        <v>0.64400000000000002</v>
      </c>
      <c r="L54" s="77">
        <v>0.35599999999999998</v>
      </c>
    </row>
    <row r="55" spans="1:12" ht="15" thickBot="1">
      <c r="A55" s="73" t="s">
        <v>677</v>
      </c>
      <c r="B55" s="74" t="s">
        <v>678</v>
      </c>
      <c r="C55" s="74" t="s">
        <v>581</v>
      </c>
      <c r="D55" s="75">
        <v>23</v>
      </c>
      <c r="E55" s="75">
        <v>14</v>
      </c>
      <c r="F55" s="75">
        <v>15</v>
      </c>
      <c r="G55" s="75">
        <v>58</v>
      </c>
      <c r="H55" s="75">
        <v>79</v>
      </c>
      <c r="I55" s="75">
        <v>189</v>
      </c>
      <c r="J55" s="75">
        <v>500</v>
      </c>
      <c r="K55" s="77">
        <v>0.378</v>
      </c>
      <c r="L55" s="77">
        <v>0.622</v>
      </c>
    </row>
    <row r="56" spans="1:12" ht="15" thickBot="1">
      <c r="A56" s="73" t="s">
        <v>679</v>
      </c>
      <c r="B56" s="74" t="s">
        <v>680</v>
      </c>
      <c r="C56" s="74" t="s">
        <v>584</v>
      </c>
      <c r="D56" s="75">
        <v>15</v>
      </c>
      <c r="E56" s="75">
        <v>67</v>
      </c>
      <c r="F56" s="75">
        <v>48</v>
      </c>
      <c r="G56" s="75">
        <v>95</v>
      </c>
      <c r="H56" s="75">
        <v>35</v>
      </c>
      <c r="I56" s="75">
        <v>260</v>
      </c>
      <c r="J56" s="75">
        <v>500</v>
      </c>
      <c r="K56" s="77">
        <v>0.52</v>
      </c>
      <c r="L56" s="77">
        <v>0.48</v>
      </c>
    </row>
    <row r="57" spans="1:12" ht="15" thickBot="1">
      <c r="A57" s="73" t="s">
        <v>681</v>
      </c>
      <c r="B57" s="74" t="s">
        <v>682</v>
      </c>
      <c r="C57" s="74" t="s">
        <v>276</v>
      </c>
      <c r="D57" s="75">
        <v>18</v>
      </c>
      <c r="E57" s="75">
        <v>35</v>
      </c>
      <c r="F57" s="75">
        <v>82</v>
      </c>
      <c r="G57" s="75">
        <v>31</v>
      </c>
      <c r="H57" s="75">
        <v>26</v>
      </c>
      <c r="I57" s="75">
        <v>192</v>
      </c>
      <c r="J57" s="75">
        <v>500</v>
      </c>
      <c r="K57" s="77">
        <v>0.38400000000000001</v>
      </c>
      <c r="L57" s="77">
        <v>0.61599999999999999</v>
      </c>
    </row>
    <row r="58" spans="1:12" ht="15" thickBot="1">
      <c r="A58" s="73" t="s">
        <v>683</v>
      </c>
      <c r="B58" s="74" t="s">
        <v>684</v>
      </c>
      <c r="C58" s="74" t="s">
        <v>249</v>
      </c>
      <c r="D58" s="75">
        <v>57</v>
      </c>
      <c r="E58" s="75">
        <v>60</v>
      </c>
      <c r="F58" s="75">
        <v>42</v>
      </c>
      <c r="G58" s="75">
        <v>81</v>
      </c>
      <c r="H58" s="75">
        <v>44</v>
      </c>
      <c r="I58" s="75">
        <v>284</v>
      </c>
      <c r="J58" s="75">
        <v>500</v>
      </c>
      <c r="K58" s="77">
        <v>0.56799999999999995</v>
      </c>
      <c r="L58" s="77">
        <v>0.432</v>
      </c>
    </row>
    <row r="59" spans="1:12" ht="15" thickBot="1">
      <c r="A59" s="73" t="s">
        <v>685</v>
      </c>
      <c r="B59" s="74" t="s">
        <v>686</v>
      </c>
      <c r="C59" s="74" t="s">
        <v>252</v>
      </c>
      <c r="D59" s="75">
        <v>34</v>
      </c>
      <c r="E59" s="75">
        <v>97</v>
      </c>
      <c r="F59" s="75">
        <v>66</v>
      </c>
      <c r="G59" s="75">
        <v>45</v>
      </c>
      <c r="H59" s="75">
        <v>50</v>
      </c>
      <c r="I59" s="75">
        <v>292</v>
      </c>
      <c r="J59" s="75">
        <v>500</v>
      </c>
      <c r="K59" s="77">
        <v>0.58399999999999996</v>
      </c>
      <c r="L59" s="77">
        <v>0.41599999999999998</v>
      </c>
    </row>
    <row r="60" spans="1:12" ht="15" thickBot="1">
      <c r="A60" s="73" t="s">
        <v>687</v>
      </c>
      <c r="B60" s="74" t="s">
        <v>688</v>
      </c>
      <c r="C60" s="74" t="s">
        <v>231</v>
      </c>
      <c r="D60" s="75">
        <v>83</v>
      </c>
      <c r="E60" s="75">
        <v>12</v>
      </c>
      <c r="F60" s="75">
        <v>70</v>
      </c>
      <c r="G60" s="75">
        <v>83</v>
      </c>
      <c r="H60" s="75">
        <v>52</v>
      </c>
      <c r="I60" s="75">
        <v>300</v>
      </c>
      <c r="J60" s="75">
        <v>500</v>
      </c>
      <c r="K60" s="77">
        <v>0.6</v>
      </c>
      <c r="L60" s="77">
        <v>0.4</v>
      </c>
    </row>
    <row r="61" spans="1:12" ht="15" thickBot="1">
      <c r="A61" s="73" t="s">
        <v>689</v>
      </c>
      <c r="B61" s="74" t="s">
        <v>690</v>
      </c>
      <c r="C61" s="74" t="s">
        <v>255</v>
      </c>
      <c r="D61" s="75">
        <v>76</v>
      </c>
      <c r="E61" s="75">
        <v>55</v>
      </c>
      <c r="F61" s="75">
        <v>56</v>
      </c>
      <c r="G61" s="75">
        <v>16</v>
      </c>
      <c r="H61" s="75">
        <v>61</v>
      </c>
      <c r="I61" s="75">
        <v>264</v>
      </c>
      <c r="J61" s="75">
        <v>500</v>
      </c>
      <c r="K61" s="77">
        <v>0.52800000000000002</v>
      </c>
      <c r="L61" s="77">
        <v>0.47199999999999998</v>
      </c>
    </row>
    <row r="62" spans="1:12" ht="15" thickBot="1">
      <c r="A62" s="73" t="s">
        <v>691</v>
      </c>
      <c r="B62" s="74" t="s">
        <v>692</v>
      </c>
      <c r="C62" s="74" t="s">
        <v>274</v>
      </c>
      <c r="D62" s="75">
        <v>40</v>
      </c>
      <c r="E62" s="75">
        <v>70</v>
      </c>
      <c r="F62" s="75">
        <v>19</v>
      </c>
      <c r="G62" s="75">
        <v>36</v>
      </c>
      <c r="H62" s="75">
        <v>52</v>
      </c>
      <c r="I62" s="75">
        <v>217</v>
      </c>
      <c r="J62" s="75">
        <v>500</v>
      </c>
      <c r="K62" s="77">
        <v>0.434</v>
      </c>
      <c r="L62" s="77">
        <v>0.56599999999999995</v>
      </c>
    </row>
    <row r="63" spans="1:12" ht="15" thickBot="1">
      <c r="A63" s="73" t="s">
        <v>693</v>
      </c>
      <c r="B63" s="74" t="s">
        <v>694</v>
      </c>
      <c r="C63" s="74" t="s">
        <v>581</v>
      </c>
      <c r="D63" s="75">
        <v>44</v>
      </c>
      <c r="E63" s="75">
        <v>60</v>
      </c>
      <c r="F63" s="75">
        <v>71</v>
      </c>
      <c r="G63" s="75">
        <v>34</v>
      </c>
      <c r="H63" s="75">
        <v>37</v>
      </c>
      <c r="I63" s="75">
        <v>246</v>
      </c>
      <c r="J63" s="75">
        <v>500</v>
      </c>
      <c r="K63" s="77">
        <v>0.49199999999999999</v>
      </c>
      <c r="L63" s="77">
        <v>0.50800000000000001</v>
      </c>
    </row>
    <row r="64" spans="1:12" ht="15" thickBot="1">
      <c r="A64" s="73" t="s">
        <v>695</v>
      </c>
      <c r="B64" s="74" t="s">
        <v>696</v>
      </c>
      <c r="C64" s="74" t="s">
        <v>584</v>
      </c>
      <c r="D64" s="75">
        <v>43</v>
      </c>
      <c r="E64" s="75">
        <v>78</v>
      </c>
      <c r="F64" s="75">
        <v>15</v>
      </c>
      <c r="G64" s="75">
        <v>98</v>
      </c>
      <c r="H64" s="75">
        <v>33</v>
      </c>
      <c r="I64" s="75">
        <v>267</v>
      </c>
      <c r="J64" s="75">
        <v>500</v>
      </c>
      <c r="K64" s="77">
        <v>0.53400000000000003</v>
      </c>
      <c r="L64" s="77">
        <v>0.46600000000000003</v>
      </c>
    </row>
    <row r="65" spans="1:12" ht="15" thickBot="1">
      <c r="A65" s="73" t="s">
        <v>697</v>
      </c>
      <c r="B65" s="74" t="s">
        <v>698</v>
      </c>
      <c r="C65" s="74" t="s">
        <v>276</v>
      </c>
      <c r="D65" s="75">
        <v>75</v>
      </c>
      <c r="E65" s="75">
        <v>75</v>
      </c>
      <c r="F65" s="75">
        <v>89</v>
      </c>
      <c r="G65" s="75">
        <v>97</v>
      </c>
      <c r="H65" s="75">
        <v>49</v>
      </c>
      <c r="I65" s="75">
        <v>385</v>
      </c>
      <c r="J65" s="75">
        <v>500</v>
      </c>
      <c r="K65" s="77">
        <v>0.77</v>
      </c>
      <c r="L65" s="77">
        <v>0.23</v>
      </c>
    </row>
    <row r="66" spans="1:12" ht="15" thickBot="1">
      <c r="A66" s="73" t="s">
        <v>699</v>
      </c>
      <c r="B66" s="74" t="s">
        <v>700</v>
      </c>
      <c r="C66" s="74" t="s">
        <v>249</v>
      </c>
      <c r="D66" s="75">
        <v>74</v>
      </c>
      <c r="E66" s="75">
        <v>51</v>
      </c>
      <c r="F66" s="75">
        <v>97</v>
      </c>
      <c r="G66" s="75">
        <v>73</v>
      </c>
      <c r="H66" s="75">
        <v>33</v>
      </c>
      <c r="I66" s="75">
        <v>328</v>
      </c>
      <c r="J66" s="75">
        <v>500</v>
      </c>
      <c r="K66" s="77">
        <v>0.65600000000000003</v>
      </c>
      <c r="L66" s="77">
        <v>0.34399999999999997</v>
      </c>
    </row>
    <row r="67" spans="1:12" ht="15" thickBot="1">
      <c r="A67" s="73" t="s">
        <v>701</v>
      </c>
      <c r="B67" s="74" t="s">
        <v>702</v>
      </c>
      <c r="C67" s="74" t="s">
        <v>252</v>
      </c>
      <c r="D67" s="75">
        <v>44</v>
      </c>
      <c r="E67" s="75">
        <v>36</v>
      </c>
      <c r="F67" s="75">
        <v>11</v>
      </c>
      <c r="G67" s="75">
        <v>45</v>
      </c>
      <c r="H67" s="75">
        <v>30</v>
      </c>
      <c r="I67" s="75">
        <v>166</v>
      </c>
      <c r="J67" s="75">
        <v>500</v>
      </c>
      <c r="K67" s="77">
        <v>0.33200000000000002</v>
      </c>
      <c r="L67" s="77">
        <v>0.66800000000000004</v>
      </c>
    </row>
    <row r="68" spans="1:12" ht="15" thickBot="1">
      <c r="A68" s="73" t="s">
        <v>703</v>
      </c>
      <c r="B68" s="74" t="s">
        <v>704</v>
      </c>
      <c r="C68" s="74" t="s">
        <v>231</v>
      </c>
      <c r="D68" s="75">
        <v>87</v>
      </c>
      <c r="E68" s="75">
        <v>79</v>
      </c>
      <c r="F68" s="75">
        <v>46</v>
      </c>
      <c r="G68" s="75">
        <v>65</v>
      </c>
      <c r="H68" s="75">
        <v>65</v>
      </c>
      <c r="I68" s="75">
        <v>342</v>
      </c>
      <c r="J68" s="75">
        <v>500</v>
      </c>
      <c r="K68" s="77">
        <v>0.68400000000000005</v>
      </c>
      <c r="L68" s="77">
        <v>0.316</v>
      </c>
    </row>
    <row r="69" spans="1:12" ht="15" thickBot="1">
      <c r="A69" s="73" t="s">
        <v>705</v>
      </c>
      <c r="B69" s="74" t="s">
        <v>706</v>
      </c>
      <c r="C69" s="74" t="s">
        <v>255</v>
      </c>
      <c r="D69" s="75">
        <v>70</v>
      </c>
      <c r="E69" s="75">
        <v>52</v>
      </c>
      <c r="F69" s="75">
        <v>80</v>
      </c>
      <c r="G69" s="75">
        <v>43</v>
      </c>
      <c r="H69" s="75">
        <v>48</v>
      </c>
      <c r="I69" s="75">
        <v>293</v>
      </c>
      <c r="J69" s="75">
        <v>500</v>
      </c>
      <c r="K69" s="77">
        <v>0.58599999999999997</v>
      </c>
      <c r="L69" s="77">
        <v>0.41399999999999998</v>
      </c>
    </row>
    <row r="70" spans="1:12" ht="15" thickBot="1">
      <c r="A70" s="73" t="s">
        <v>707</v>
      </c>
      <c r="B70" s="74" t="s">
        <v>708</v>
      </c>
      <c r="C70" s="74" t="s">
        <v>274</v>
      </c>
      <c r="D70" s="75">
        <v>45</v>
      </c>
      <c r="E70" s="75">
        <v>26</v>
      </c>
      <c r="F70" s="75">
        <v>27</v>
      </c>
      <c r="G70" s="75">
        <v>14</v>
      </c>
      <c r="H70" s="75">
        <v>59</v>
      </c>
      <c r="I70" s="75">
        <v>171</v>
      </c>
      <c r="J70" s="75">
        <v>500</v>
      </c>
      <c r="K70" s="77">
        <v>0.34200000000000003</v>
      </c>
      <c r="L70" s="77">
        <v>0.65800000000000003</v>
      </c>
    </row>
    <row r="71" spans="1:12" ht="15" thickBot="1">
      <c r="A71" s="73" t="s">
        <v>709</v>
      </c>
      <c r="B71" s="74" t="s">
        <v>710</v>
      </c>
      <c r="C71" s="74" t="s">
        <v>581</v>
      </c>
      <c r="D71" s="75">
        <v>51</v>
      </c>
      <c r="E71" s="75">
        <v>26</v>
      </c>
      <c r="F71" s="75">
        <v>58</v>
      </c>
      <c r="G71" s="75">
        <v>83</v>
      </c>
      <c r="H71" s="75">
        <v>11</v>
      </c>
      <c r="I71" s="75">
        <v>229</v>
      </c>
      <c r="J71" s="75">
        <v>500</v>
      </c>
      <c r="K71" s="77">
        <v>0.45800000000000002</v>
      </c>
      <c r="L71" s="77">
        <v>0.54200000000000004</v>
      </c>
    </row>
    <row r="72" spans="1:12" ht="15" thickBot="1">
      <c r="A72" s="73" t="s">
        <v>711</v>
      </c>
      <c r="B72" s="74" t="s">
        <v>712</v>
      </c>
      <c r="C72" s="74" t="s">
        <v>584</v>
      </c>
      <c r="D72" s="75">
        <v>68</v>
      </c>
      <c r="E72" s="75">
        <v>36</v>
      </c>
      <c r="F72" s="75">
        <v>15</v>
      </c>
      <c r="G72" s="75">
        <v>20</v>
      </c>
      <c r="H72" s="75">
        <v>17</v>
      </c>
      <c r="I72" s="75">
        <v>156</v>
      </c>
      <c r="J72" s="75">
        <v>500</v>
      </c>
      <c r="K72" s="77">
        <v>0.312</v>
      </c>
      <c r="L72" s="77">
        <v>0.68799999999999994</v>
      </c>
    </row>
    <row r="73" spans="1:12" ht="15" thickBot="1">
      <c r="A73" s="73" t="s">
        <v>713</v>
      </c>
      <c r="B73" s="74" t="s">
        <v>714</v>
      </c>
      <c r="C73" s="74" t="s">
        <v>276</v>
      </c>
      <c r="D73" s="75">
        <v>32</v>
      </c>
      <c r="E73" s="75">
        <v>74</v>
      </c>
      <c r="F73" s="75">
        <v>18</v>
      </c>
      <c r="G73" s="75">
        <v>33</v>
      </c>
      <c r="H73" s="75">
        <v>51</v>
      </c>
      <c r="I73" s="75">
        <v>208</v>
      </c>
      <c r="J73" s="75">
        <v>500</v>
      </c>
      <c r="K73" s="77">
        <v>0.41599999999999998</v>
      </c>
      <c r="L73" s="77">
        <v>0.58399999999999996</v>
      </c>
    </row>
    <row r="74" spans="1:12" ht="15" thickBot="1">
      <c r="A74" s="73" t="s">
        <v>715</v>
      </c>
      <c r="B74" s="74" t="s">
        <v>716</v>
      </c>
      <c r="C74" s="74" t="s">
        <v>249</v>
      </c>
      <c r="D74" s="75">
        <v>41</v>
      </c>
      <c r="E74" s="75">
        <v>11</v>
      </c>
      <c r="F74" s="75">
        <v>46</v>
      </c>
      <c r="G74" s="75">
        <v>35</v>
      </c>
      <c r="H74" s="75">
        <v>10</v>
      </c>
      <c r="I74" s="75">
        <v>143</v>
      </c>
      <c r="J74" s="75">
        <v>500</v>
      </c>
      <c r="K74" s="77">
        <v>0.28599999999999998</v>
      </c>
      <c r="L74" s="77">
        <v>0.71399999999999997</v>
      </c>
    </row>
    <row r="75" spans="1:12" ht="15" thickBot="1">
      <c r="A75" s="73" t="s">
        <v>717</v>
      </c>
      <c r="B75" s="74" t="s">
        <v>718</v>
      </c>
      <c r="C75" s="74" t="s">
        <v>252</v>
      </c>
      <c r="D75" s="75">
        <v>41</v>
      </c>
      <c r="E75" s="75">
        <v>17</v>
      </c>
      <c r="F75" s="75">
        <v>82</v>
      </c>
      <c r="G75" s="75">
        <v>75</v>
      </c>
      <c r="H75" s="75">
        <v>39</v>
      </c>
      <c r="I75" s="75">
        <v>254</v>
      </c>
      <c r="J75" s="75">
        <v>500</v>
      </c>
      <c r="K75" s="77">
        <v>0.50800000000000001</v>
      </c>
      <c r="L75" s="77">
        <v>0.49199999999999999</v>
      </c>
    </row>
    <row r="76" spans="1:12" ht="15" thickBot="1">
      <c r="A76" s="73" t="s">
        <v>719</v>
      </c>
      <c r="B76" s="74" t="s">
        <v>720</v>
      </c>
      <c r="C76" s="74" t="s">
        <v>231</v>
      </c>
      <c r="D76" s="75">
        <v>12</v>
      </c>
      <c r="E76" s="75">
        <v>97</v>
      </c>
      <c r="F76" s="75">
        <v>45</v>
      </c>
      <c r="G76" s="75">
        <v>29</v>
      </c>
      <c r="H76" s="75">
        <v>41</v>
      </c>
      <c r="I76" s="75">
        <v>224</v>
      </c>
      <c r="J76" s="75">
        <v>500</v>
      </c>
      <c r="K76" s="77">
        <v>0.44800000000000001</v>
      </c>
      <c r="L76" s="77">
        <v>0.55200000000000005</v>
      </c>
    </row>
    <row r="77" spans="1:12" ht="15" thickBot="1">
      <c r="A77" s="73" t="s">
        <v>721</v>
      </c>
      <c r="B77" s="74" t="s">
        <v>722</v>
      </c>
      <c r="C77" s="74" t="s">
        <v>255</v>
      </c>
      <c r="D77" s="75">
        <v>19</v>
      </c>
      <c r="E77" s="75">
        <v>72</v>
      </c>
      <c r="F77" s="75">
        <v>87</v>
      </c>
      <c r="G77" s="75">
        <v>82</v>
      </c>
      <c r="H77" s="75">
        <v>27</v>
      </c>
      <c r="I77" s="75">
        <v>287</v>
      </c>
      <c r="J77" s="75">
        <v>500</v>
      </c>
      <c r="K77" s="77">
        <v>0.57399999999999995</v>
      </c>
      <c r="L77" s="77">
        <v>0.42599999999999999</v>
      </c>
    </row>
    <row r="78" spans="1:12" ht="15" thickBot="1">
      <c r="A78" s="73" t="s">
        <v>723</v>
      </c>
      <c r="B78" s="74" t="s">
        <v>724</v>
      </c>
      <c r="C78" s="74" t="s">
        <v>274</v>
      </c>
      <c r="D78" s="75">
        <v>98</v>
      </c>
      <c r="E78" s="75">
        <v>15</v>
      </c>
      <c r="F78" s="75">
        <v>72</v>
      </c>
      <c r="G78" s="75">
        <v>67</v>
      </c>
      <c r="H78" s="75">
        <v>34</v>
      </c>
      <c r="I78" s="75">
        <v>286</v>
      </c>
      <c r="J78" s="75">
        <v>500</v>
      </c>
      <c r="K78" s="77">
        <v>0.57199999999999995</v>
      </c>
      <c r="L78" s="77">
        <v>0.42799999999999999</v>
      </c>
    </row>
    <row r="79" spans="1:12" ht="15" thickBot="1">
      <c r="A79" s="73" t="s">
        <v>725</v>
      </c>
      <c r="B79" s="74" t="s">
        <v>726</v>
      </c>
      <c r="C79" s="74" t="s">
        <v>581</v>
      </c>
      <c r="D79" s="75">
        <v>50</v>
      </c>
      <c r="E79" s="75">
        <v>44</v>
      </c>
      <c r="F79" s="75">
        <v>46</v>
      </c>
      <c r="G79" s="75">
        <v>13</v>
      </c>
      <c r="H79" s="75">
        <v>92</v>
      </c>
      <c r="I79" s="75">
        <v>245</v>
      </c>
      <c r="J79" s="75">
        <v>500</v>
      </c>
      <c r="K79" s="77">
        <v>0.49</v>
      </c>
      <c r="L79" s="77">
        <v>0.51</v>
      </c>
    </row>
    <row r="80" spans="1:12" ht="15" thickBot="1">
      <c r="A80" s="73" t="s">
        <v>727</v>
      </c>
      <c r="B80" s="74" t="s">
        <v>728</v>
      </c>
      <c r="C80" s="74" t="s">
        <v>584</v>
      </c>
      <c r="D80" s="75">
        <v>40</v>
      </c>
      <c r="E80" s="75">
        <v>82</v>
      </c>
      <c r="F80" s="75">
        <v>72</v>
      </c>
      <c r="G80" s="75">
        <v>42</v>
      </c>
      <c r="H80" s="75">
        <v>45</v>
      </c>
      <c r="I80" s="75">
        <v>281</v>
      </c>
      <c r="J80" s="75">
        <v>500</v>
      </c>
      <c r="K80" s="77">
        <v>0.56200000000000006</v>
      </c>
      <c r="L80" s="77">
        <v>0.438</v>
      </c>
    </row>
    <row r="81" spans="1:12" ht="15" thickBot="1">
      <c r="A81" s="73" t="s">
        <v>729</v>
      </c>
      <c r="B81" s="74" t="s">
        <v>730</v>
      </c>
      <c r="C81" s="74" t="s">
        <v>276</v>
      </c>
      <c r="D81" s="75">
        <v>23</v>
      </c>
      <c r="E81" s="75">
        <v>83</v>
      </c>
      <c r="F81" s="75">
        <v>63</v>
      </c>
      <c r="G81" s="75">
        <v>65</v>
      </c>
      <c r="H81" s="75">
        <v>83</v>
      </c>
      <c r="I81" s="75">
        <v>317</v>
      </c>
      <c r="J81" s="75">
        <v>500</v>
      </c>
      <c r="K81" s="77">
        <v>0.63400000000000001</v>
      </c>
      <c r="L81" s="77">
        <v>0.36599999999999999</v>
      </c>
    </row>
    <row r="82" spans="1:12" ht="15" thickBot="1">
      <c r="A82" s="73" t="s">
        <v>731</v>
      </c>
      <c r="B82" s="74" t="s">
        <v>732</v>
      </c>
      <c r="C82" s="74" t="s">
        <v>249</v>
      </c>
      <c r="D82" s="75">
        <v>71</v>
      </c>
      <c r="E82" s="75">
        <v>94</v>
      </c>
      <c r="F82" s="75">
        <v>45</v>
      </c>
      <c r="G82" s="75">
        <v>95</v>
      </c>
      <c r="H82" s="75">
        <v>46</v>
      </c>
      <c r="I82" s="75">
        <v>351</v>
      </c>
      <c r="J82" s="75">
        <v>500</v>
      </c>
      <c r="K82" s="77">
        <v>0.70199999999999996</v>
      </c>
      <c r="L82" s="77">
        <v>0.29799999999999999</v>
      </c>
    </row>
    <row r="83" spans="1:12" ht="15" thickBot="1">
      <c r="A83" s="73" t="s">
        <v>733</v>
      </c>
      <c r="B83" s="74" t="s">
        <v>734</v>
      </c>
      <c r="C83" s="74" t="s">
        <v>252</v>
      </c>
      <c r="D83" s="75">
        <v>48</v>
      </c>
      <c r="E83" s="75">
        <v>49</v>
      </c>
      <c r="F83" s="75">
        <v>68</v>
      </c>
      <c r="G83" s="75">
        <v>23</v>
      </c>
      <c r="H83" s="75">
        <v>21</v>
      </c>
      <c r="I83" s="75">
        <v>209</v>
      </c>
      <c r="J83" s="75">
        <v>500</v>
      </c>
      <c r="K83" s="77">
        <v>0.41799999999999998</v>
      </c>
      <c r="L83" s="77">
        <v>0.58199999999999996</v>
      </c>
    </row>
    <row r="84" spans="1:12" ht="15" thickBot="1">
      <c r="A84" s="73" t="s">
        <v>735</v>
      </c>
      <c r="B84" s="74" t="s">
        <v>736</v>
      </c>
      <c r="C84" s="74" t="s">
        <v>231</v>
      </c>
      <c r="D84" s="75">
        <v>77</v>
      </c>
      <c r="E84" s="75">
        <v>83</v>
      </c>
      <c r="F84" s="75">
        <v>64</v>
      </c>
      <c r="G84" s="75">
        <v>53</v>
      </c>
      <c r="H84" s="75">
        <v>13</v>
      </c>
      <c r="I84" s="75">
        <v>290</v>
      </c>
      <c r="J84" s="75">
        <v>500</v>
      </c>
      <c r="K84" s="77">
        <v>0.57999999999999996</v>
      </c>
      <c r="L84" s="77">
        <v>0.42</v>
      </c>
    </row>
    <row r="85" spans="1:12" ht="15" thickBot="1">
      <c r="A85" s="73" t="s">
        <v>737</v>
      </c>
      <c r="B85" s="74" t="s">
        <v>738</v>
      </c>
      <c r="C85" s="74" t="s">
        <v>255</v>
      </c>
      <c r="D85" s="75">
        <v>81</v>
      </c>
      <c r="E85" s="75">
        <v>63</v>
      </c>
      <c r="F85" s="75">
        <v>88</v>
      </c>
      <c r="G85" s="75">
        <v>89</v>
      </c>
      <c r="H85" s="75">
        <v>63</v>
      </c>
      <c r="I85" s="75">
        <v>384</v>
      </c>
      <c r="J85" s="75">
        <v>500</v>
      </c>
      <c r="K85" s="77">
        <v>0.76800000000000002</v>
      </c>
      <c r="L85" s="77">
        <v>0.23200000000000001</v>
      </c>
    </row>
    <row r="86" spans="1:12" ht="15" thickBot="1">
      <c r="A86" s="73" t="s">
        <v>739</v>
      </c>
      <c r="B86" s="74" t="s">
        <v>740</v>
      </c>
      <c r="C86" s="74" t="s">
        <v>274</v>
      </c>
      <c r="D86" s="75">
        <v>39</v>
      </c>
      <c r="E86" s="75">
        <v>87</v>
      </c>
      <c r="F86" s="75">
        <v>62</v>
      </c>
      <c r="G86" s="75">
        <v>80</v>
      </c>
      <c r="H86" s="75">
        <v>81</v>
      </c>
      <c r="I86" s="75">
        <v>349</v>
      </c>
      <c r="J86" s="75">
        <v>500</v>
      </c>
      <c r="K86" s="77">
        <v>0.69799999999999995</v>
      </c>
      <c r="L86" s="77">
        <v>0.30199999999999999</v>
      </c>
    </row>
    <row r="87" spans="1:12" ht="15" thickBot="1">
      <c r="A87" s="73" t="s">
        <v>741</v>
      </c>
      <c r="B87" s="74" t="s">
        <v>742</v>
      </c>
      <c r="C87" s="74" t="s">
        <v>581</v>
      </c>
      <c r="D87" s="75">
        <v>46</v>
      </c>
      <c r="E87" s="75">
        <v>19</v>
      </c>
      <c r="F87" s="75">
        <v>59</v>
      </c>
      <c r="G87" s="75">
        <v>58</v>
      </c>
      <c r="H87" s="75">
        <v>33</v>
      </c>
      <c r="I87" s="75">
        <v>215</v>
      </c>
      <c r="J87" s="75">
        <v>500</v>
      </c>
      <c r="K87" s="77">
        <v>0.43</v>
      </c>
      <c r="L87" s="77">
        <v>0.56999999999999995</v>
      </c>
    </row>
    <row r="88" spans="1:12" ht="15" thickBot="1">
      <c r="A88" s="73" t="s">
        <v>743</v>
      </c>
      <c r="B88" s="74" t="s">
        <v>744</v>
      </c>
      <c r="C88" s="74" t="s">
        <v>584</v>
      </c>
      <c r="D88" s="75">
        <v>34</v>
      </c>
      <c r="E88" s="75">
        <v>15</v>
      </c>
      <c r="F88" s="75">
        <v>43</v>
      </c>
      <c r="G88" s="75">
        <v>63</v>
      </c>
      <c r="H88" s="75">
        <v>54</v>
      </c>
      <c r="I88" s="75">
        <v>209</v>
      </c>
      <c r="J88" s="75">
        <v>500</v>
      </c>
      <c r="K88" s="77">
        <v>0.41799999999999998</v>
      </c>
      <c r="L88" s="77">
        <v>0.58199999999999996</v>
      </c>
    </row>
    <row r="89" spans="1:12" ht="15" thickBot="1">
      <c r="A89" s="73" t="s">
        <v>745</v>
      </c>
      <c r="B89" s="74" t="s">
        <v>746</v>
      </c>
      <c r="C89" s="74" t="s">
        <v>276</v>
      </c>
      <c r="D89" s="75">
        <v>32</v>
      </c>
      <c r="E89" s="75">
        <v>79</v>
      </c>
      <c r="F89" s="75">
        <v>65</v>
      </c>
      <c r="G89" s="75">
        <v>57</v>
      </c>
      <c r="H89" s="75">
        <v>73</v>
      </c>
      <c r="I89" s="75">
        <v>306</v>
      </c>
      <c r="J89" s="75">
        <v>500</v>
      </c>
      <c r="K89" s="77">
        <v>0.61199999999999999</v>
      </c>
      <c r="L89" s="77">
        <v>0.38800000000000001</v>
      </c>
    </row>
    <row r="90" spans="1:12" ht="15" thickBot="1">
      <c r="A90" s="73" t="s">
        <v>747</v>
      </c>
      <c r="B90" s="74" t="s">
        <v>748</v>
      </c>
      <c r="C90" s="74" t="s">
        <v>249</v>
      </c>
      <c r="D90" s="75">
        <v>72</v>
      </c>
      <c r="E90" s="75">
        <v>82</v>
      </c>
      <c r="F90" s="75">
        <v>58</v>
      </c>
      <c r="G90" s="75">
        <v>36</v>
      </c>
      <c r="H90" s="75">
        <v>33</v>
      </c>
      <c r="I90" s="75">
        <v>281</v>
      </c>
      <c r="J90" s="75">
        <v>500</v>
      </c>
      <c r="K90" s="77">
        <v>0.56200000000000006</v>
      </c>
      <c r="L90" s="77">
        <v>0.438</v>
      </c>
    </row>
    <row r="91" spans="1:12" ht="15" thickBot="1">
      <c r="A91" s="73" t="s">
        <v>749</v>
      </c>
      <c r="B91" s="74" t="s">
        <v>750</v>
      </c>
      <c r="C91" s="74" t="s">
        <v>252</v>
      </c>
      <c r="D91" s="75">
        <v>11</v>
      </c>
      <c r="E91" s="75">
        <v>69</v>
      </c>
      <c r="F91" s="75">
        <v>49</v>
      </c>
      <c r="G91" s="75">
        <v>90</v>
      </c>
      <c r="H91" s="75">
        <v>99</v>
      </c>
      <c r="I91" s="75">
        <v>318</v>
      </c>
      <c r="J91" s="75">
        <v>500</v>
      </c>
      <c r="K91" s="77">
        <v>0.63600000000000001</v>
      </c>
      <c r="L91" s="77">
        <v>0.36399999999999999</v>
      </c>
    </row>
    <row r="92" spans="1:12" ht="15" thickBot="1">
      <c r="A92" s="73" t="s">
        <v>751</v>
      </c>
      <c r="B92" s="74" t="s">
        <v>752</v>
      </c>
      <c r="C92" s="74" t="s">
        <v>231</v>
      </c>
      <c r="D92" s="75">
        <v>80</v>
      </c>
      <c r="E92" s="75">
        <v>73</v>
      </c>
      <c r="F92" s="75">
        <v>21</v>
      </c>
      <c r="G92" s="75">
        <v>72</v>
      </c>
      <c r="H92" s="75">
        <v>54</v>
      </c>
      <c r="I92" s="75">
        <v>300</v>
      </c>
      <c r="J92" s="75">
        <v>500</v>
      </c>
      <c r="K92" s="77">
        <v>0.6</v>
      </c>
      <c r="L92" s="77">
        <v>0.4</v>
      </c>
    </row>
    <row r="93" spans="1:12" ht="29.4" thickBot="1">
      <c r="A93" s="73" t="s">
        <v>753</v>
      </c>
      <c r="B93" s="74" t="s">
        <v>754</v>
      </c>
      <c r="C93" s="74" t="s">
        <v>255</v>
      </c>
      <c r="D93" s="75">
        <v>93</v>
      </c>
      <c r="E93" s="75">
        <v>42</v>
      </c>
      <c r="F93" s="75">
        <v>38</v>
      </c>
      <c r="G93" s="75">
        <v>98</v>
      </c>
      <c r="H93" s="75">
        <v>10</v>
      </c>
      <c r="I93" s="75">
        <v>281</v>
      </c>
      <c r="J93" s="75">
        <v>500</v>
      </c>
      <c r="K93" s="77">
        <v>0.56200000000000006</v>
      </c>
      <c r="L93" s="77">
        <v>0.438</v>
      </c>
    </row>
    <row r="94" spans="1:12" ht="15" thickBot="1">
      <c r="A94" s="73" t="s">
        <v>755</v>
      </c>
      <c r="B94" s="74" t="s">
        <v>756</v>
      </c>
      <c r="C94" s="74" t="s">
        <v>274</v>
      </c>
      <c r="D94" s="75">
        <v>18</v>
      </c>
      <c r="E94" s="75">
        <v>80</v>
      </c>
      <c r="F94" s="75">
        <v>20</v>
      </c>
      <c r="G94" s="75">
        <v>32</v>
      </c>
      <c r="H94" s="75">
        <v>95</v>
      </c>
      <c r="I94" s="75">
        <v>245</v>
      </c>
      <c r="J94" s="75">
        <v>500</v>
      </c>
      <c r="K94" s="77">
        <v>0.49</v>
      </c>
      <c r="L94" s="77">
        <v>0.51</v>
      </c>
    </row>
    <row r="95" spans="1:12" ht="15" thickBot="1">
      <c r="A95" s="73" t="s">
        <v>757</v>
      </c>
      <c r="B95" s="74" t="s">
        <v>758</v>
      </c>
      <c r="C95" s="74" t="s">
        <v>581</v>
      </c>
      <c r="D95" s="75">
        <v>96</v>
      </c>
      <c r="E95" s="75">
        <v>14</v>
      </c>
      <c r="F95" s="75">
        <v>20</v>
      </c>
      <c r="G95" s="75">
        <v>31</v>
      </c>
      <c r="H95" s="75">
        <v>44</v>
      </c>
      <c r="I95" s="75">
        <v>205</v>
      </c>
      <c r="J95" s="75">
        <v>500</v>
      </c>
      <c r="K95" s="77">
        <v>0.41</v>
      </c>
      <c r="L95" s="77">
        <v>0.59</v>
      </c>
    </row>
    <row r="96" spans="1:12" ht="15" thickBot="1">
      <c r="A96" s="73" t="s">
        <v>759</v>
      </c>
      <c r="B96" s="74" t="s">
        <v>760</v>
      </c>
      <c r="C96" s="74" t="s">
        <v>584</v>
      </c>
      <c r="D96" s="75">
        <v>37</v>
      </c>
      <c r="E96" s="75">
        <v>60</v>
      </c>
      <c r="F96" s="75">
        <v>50</v>
      </c>
      <c r="G96" s="75">
        <v>68</v>
      </c>
      <c r="H96" s="75">
        <v>19</v>
      </c>
      <c r="I96" s="75">
        <v>234</v>
      </c>
      <c r="J96" s="75">
        <v>500</v>
      </c>
      <c r="K96" s="77">
        <v>0.46800000000000003</v>
      </c>
      <c r="L96" s="77">
        <v>0.53200000000000003</v>
      </c>
    </row>
    <row r="97" spans="1:12" ht="15" thickBot="1">
      <c r="A97" s="73" t="s">
        <v>761</v>
      </c>
      <c r="B97" s="74" t="s">
        <v>762</v>
      </c>
      <c r="C97" s="74" t="s">
        <v>276</v>
      </c>
      <c r="D97" s="75">
        <v>35</v>
      </c>
      <c r="E97" s="75">
        <v>79</v>
      </c>
      <c r="F97" s="75">
        <v>17</v>
      </c>
      <c r="G97" s="75">
        <v>85</v>
      </c>
      <c r="H97" s="75">
        <v>16</v>
      </c>
      <c r="I97" s="75">
        <v>232</v>
      </c>
      <c r="J97" s="75">
        <v>500</v>
      </c>
      <c r="K97" s="77">
        <v>0.46400000000000002</v>
      </c>
      <c r="L97" s="77">
        <v>0.53600000000000003</v>
      </c>
    </row>
    <row r="98" spans="1:12" ht="15" thickBot="1">
      <c r="A98" s="73" t="s">
        <v>763</v>
      </c>
      <c r="B98" s="74" t="s">
        <v>764</v>
      </c>
      <c r="C98" s="74" t="s">
        <v>249</v>
      </c>
      <c r="D98" s="75">
        <v>31</v>
      </c>
      <c r="E98" s="75">
        <v>48</v>
      </c>
      <c r="F98" s="75">
        <v>56</v>
      </c>
      <c r="G98" s="75">
        <v>85</v>
      </c>
      <c r="H98" s="75">
        <v>25</v>
      </c>
      <c r="I98" s="75">
        <v>245</v>
      </c>
      <c r="J98" s="75">
        <v>500</v>
      </c>
      <c r="K98" s="77">
        <v>0.49</v>
      </c>
      <c r="L98" s="77">
        <v>0.51</v>
      </c>
    </row>
    <row r="99" spans="1:12" ht="15" thickBot="1">
      <c r="A99" s="73" t="s">
        <v>765</v>
      </c>
      <c r="B99" s="74" t="s">
        <v>766</v>
      </c>
      <c r="C99" s="74" t="s">
        <v>252</v>
      </c>
      <c r="D99" s="75">
        <v>23</v>
      </c>
      <c r="E99" s="75">
        <v>83</v>
      </c>
      <c r="F99" s="75">
        <v>86</v>
      </c>
      <c r="G99" s="75">
        <v>69</v>
      </c>
      <c r="H99" s="75">
        <v>25</v>
      </c>
      <c r="I99" s="75">
        <v>286</v>
      </c>
      <c r="J99" s="75">
        <v>500</v>
      </c>
      <c r="K99" s="77">
        <v>0.57199999999999995</v>
      </c>
      <c r="L99" s="77">
        <v>0.42799999999999999</v>
      </c>
    </row>
    <row r="100" spans="1:12" ht="29.4" thickBot="1">
      <c r="A100" s="73" t="s">
        <v>767</v>
      </c>
      <c r="B100" s="74" t="s">
        <v>768</v>
      </c>
      <c r="C100" s="74" t="s">
        <v>231</v>
      </c>
      <c r="D100" s="75">
        <v>17</v>
      </c>
      <c r="E100" s="75">
        <v>97</v>
      </c>
      <c r="F100" s="75">
        <v>81</v>
      </c>
      <c r="G100" s="75">
        <v>32</v>
      </c>
      <c r="H100" s="75">
        <v>76</v>
      </c>
      <c r="I100" s="75">
        <v>303</v>
      </c>
      <c r="J100" s="75">
        <v>500</v>
      </c>
      <c r="K100" s="77">
        <v>0.60599999999999998</v>
      </c>
      <c r="L100" s="77">
        <v>0.39400000000000002</v>
      </c>
    </row>
    <row r="101" spans="1:12" ht="15" thickBot="1">
      <c r="A101" s="73" t="s">
        <v>769</v>
      </c>
      <c r="B101" s="74" t="s">
        <v>770</v>
      </c>
      <c r="C101" s="74" t="s">
        <v>255</v>
      </c>
      <c r="D101" s="75">
        <v>92</v>
      </c>
      <c r="E101" s="75">
        <v>45</v>
      </c>
      <c r="F101" s="75">
        <v>43</v>
      </c>
      <c r="G101" s="75">
        <v>91</v>
      </c>
      <c r="H101" s="75">
        <v>47</v>
      </c>
      <c r="I101" s="75">
        <v>318</v>
      </c>
      <c r="J101" s="75">
        <v>500</v>
      </c>
      <c r="K101" s="77">
        <v>0.63600000000000001</v>
      </c>
      <c r="L101" s="77">
        <v>0.36399999999999999</v>
      </c>
    </row>
    <row r="102" spans="1:12" ht="15" thickBot="1">
      <c r="A102" s="73" t="s">
        <v>771</v>
      </c>
      <c r="B102" s="74" t="s">
        <v>772</v>
      </c>
      <c r="C102" s="74" t="s">
        <v>274</v>
      </c>
      <c r="D102" s="75">
        <v>49</v>
      </c>
      <c r="E102" s="75">
        <v>77</v>
      </c>
      <c r="F102" s="75">
        <v>18</v>
      </c>
      <c r="G102" s="75">
        <v>69</v>
      </c>
      <c r="H102" s="75">
        <v>55</v>
      </c>
      <c r="I102" s="75">
        <v>268</v>
      </c>
      <c r="J102" s="75">
        <v>500</v>
      </c>
      <c r="K102" s="77">
        <v>0.53600000000000003</v>
      </c>
      <c r="L102" s="77">
        <v>0.46400000000000002</v>
      </c>
    </row>
    <row r="103" spans="1:12" ht="15" thickBot="1">
      <c r="A103" s="73" t="s">
        <v>773</v>
      </c>
      <c r="B103" s="74" t="s">
        <v>774</v>
      </c>
      <c r="C103" s="74" t="s">
        <v>581</v>
      </c>
      <c r="D103" s="75">
        <v>81</v>
      </c>
      <c r="E103" s="75">
        <v>88</v>
      </c>
      <c r="F103" s="75">
        <v>19</v>
      </c>
      <c r="G103" s="75">
        <v>95</v>
      </c>
      <c r="H103" s="75">
        <v>39</v>
      </c>
      <c r="I103" s="75">
        <v>322</v>
      </c>
      <c r="J103" s="75">
        <v>500</v>
      </c>
      <c r="K103" s="77">
        <v>0.64400000000000002</v>
      </c>
      <c r="L103" s="77">
        <v>0.35599999999999998</v>
      </c>
    </row>
    <row r="104" spans="1:12" ht="15" thickBot="1">
      <c r="A104" s="73" t="s">
        <v>775</v>
      </c>
      <c r="B104" s="74" t="s">
        <v>776</v>
      </c>
      <c r="C104" s="74" t="s">
        <v>584</v>
      </c>
      <c r="D104" s="75">
        <v>55</v>
      </c>
      <c r="E104" s="75">
        <v>14</v>
      </c>
      <c r="F104" s="75">
        <v>41</v>
      </c>
      <c r="G104" s="75">
        <v>40</v>
      </c>
      <c r="H104" s="75">
        <v>70</v>
      </c>
      <c r="I104" s="75">
        <v>220</v>
      </c>
      <c r="J104" s="75">
        <v>500</v>
      </c>
      <c r="K104" s="77">
        <v>0.44</v>
      </c>
      <c r="L104" s="77">
        <v>0.56000000000000005</v>
      </c>
    </row>
    <row r="105" spans="1:12" ht="15" thickBot="1">
      <c r="A105" s="73" t="s">
        <v>777</v>
      </c>
      <c r="B105" s="74" t="s">
        <v>778</v>
      </c>
      <c r="C105" s="74" t="s">
        <v>276</v>
      </c>
      <c r="D105" s="75">
        <v>86</v>
      </c>
      <c r="E105" s="75">
        <v>13</v>
      </c>
      <c r="F105" s="75">
        <v>99</v>
      </c>
      <c r="G105" s="75">
        <v>25</v>
      </c>
      <c r="H105" s="75">
        <v>83</v>
      </c>
      <c r="I105" s="75">
        <v>306</v>
      </c>
      <c r="J105" s="75">
        <v>500</v>
      </c>
      <c r="K105" s="77">
        <v>0.61199999999999999</v>
      </c>
      <c r="L105" s="77">
        <v>0.38800000000000001</v>
      </c>
    </row>
    <row r="106" spans="1:12" ht="29.4" thickBot="1">
      <c r="A106" s="73" t="s">
        <v>779</v>
      </c>
      <c r="B106" s="74" t="s">
        <v>780</v>
      </c>
      <c r="C106" s="74" t="s">
        <v>249</v>
      </c>
      <c r="D106" s="75">
        <v>88</v>
      </c>
      <c r="E106" s="75">
        <v>96</v>
      </c>
      <c r="F106" s="75">
        <v>16</v>
      </c>
      <c r="G106" s="75">
        <v>65</v>
      </c>
      <c r="H106" s="75">
        <v>86</v>
      </c>
      <c r="I106" s="75">
        <v>351</v>
      </c>
      <c r="J106" s="75">
        <v>500</v>
      </c>
      <c r="K106" s="77">
        <v>0.70199999999999996</v>
      </c>
      <c r="L106" s="77">
        <v>0.29799999999999999</v>
      </c>
    </row>
    <row r="107" spans="1:12" ht="15" thickBot="1">
      <c r="A107" s="73" t="s">
        <v>781</v>
      </c>
      <c r="B107" s="74" t="s">
        <v>782</v>
      </c>
      <c r="C107" s="74" t="s">
        <v>252</v>
      </c>
      <c r="D107" s="75">
        <v>61</v>
      </c>
      <c r="E107" s="75">
        <v>73</v>
      </c>
      <c r="F107" s="75">
        <v>34</v>
      </c>
      <c r="G107" s="75">
        <v>30</v>
      </c>
      <c r="H107" s="75">
        <v>30</v>
      </c>
      <c r="I107" s="75">
        <v>228</v>
      </c>
      <c r="J107" s="75">
        <v>500</v>
      </c>
      <c r="K107" s="77">
        <v>0.45600000000000002</v>
      </c>
      <c r="L107" s="77">
        <v>0.54400000000000004</v>
      </c>
    </row>
    <row r="108" spans="1:12" ht="15" thickBot="1">
      <c r="A108" s="73" t="s">
        <v>783</v>
      </c>
      <c r="B108" s="74" t="s">
        <v>784</v>
      </c>
      <c r="C108" s="74" t="s">
        <v>231</v>
      </c>
      <c r="D108" s="75">
        <v>61</v>
      </c>
      <c r="E108" s="75">
        <v>91</v>
      </c>
      <c r="F108" s="75">
        <v>53</v>
      </c>
      <c r="G108" s="75">
        <v>78</v>
      </c>
      <c r="H108" s="75">
        <v>91</v>
      </c>
      <c r="I108" s="75">
        <v>374</v>
      </c>
      <c r="J108" s="75">
        <v>500</v>
      </c>
      <c r="K108" s="77">
        <v>0.748</v>
      </c>
      <c r="L108" s="77">
        <v>0.252</v>
      </c>
    </row>
    <row r="109" spans="1:12" ht="15" thickBot="1">
      <c r="A109" s="73" t="s">
        <v>785</v>
      </c>
      <c r="B109" s="74" t="s">
        <v>786</v>
      </c>
      <c r="C109" s="74" t="s">
        <v>255</v>
      </c>
      <c r="D109" s="75">
        <v>75</v>
      </c>
      <c r="E109" s="75">
        <v>53</v>
      </c>
      <c r="F109" s="75">
        <v>27</v>
      </c>
      <c r="G109" s="75">
        <v>26</v>
      </c>
      <c r="H109" s="75">
        <v>30</v>
      </c>
      <c r="I109" s="75">
        <v>211</v>
      </c>
      <c r="J109" s="75">
        <v>500</v>
      </c>
      <c r="K109" s="77">
        <v>0.42199999999999999</v>
      </c>
      <c r="L109" s="77">
        <v>0.57799999999999996</v>
      </c>
    </row>
    <row r="110" spans="1:12" ht="15" thickBot="1">
      <c r="A110" s="73" t="s">
        <v>787</v>
      </c>
      <c r="B110" s="74" t="s">
        <v>788</v>
      </c>
      <c r="C110" s="74" t="s">
        <v>274</v>
      </c>
      <c r="D110" s="75">
        <v>24</v>
      </c>
      <c r="E110" s="75">
        <v>31</v>
      </c>
      <c r="F110" s="75">
        <v>41</v>
      </c>
      <c r="G110" s="75">
        <v>57</v>
      </c>
      <c r="H110" s="75">
        <v>83</v>
      </c>
      <c r="I110" s="75">
        <v>236</v>
      </c>
      <c r="J110" s="75">
        <v>500</v>
      </c>
      <c r="K110" s="77">
        <v>0.47199999999999998</v>
      </c>
      <c r="L110" s="77">
        <v>0.52800000000000002</v>
      </c>
    </row>
    <row r="111" spans="1:12" ht="15" thickBot="1">
      <c r="A111" s="73" t="s">
        <v>789</v>
      </c>
      <c r="B111" s="74" t="s">
        <v>790</v>
      </c>
      <c r="C111" s="74" t="s">
        <v>581</v>
      </c>
      <c r="D111" s="75">
        <v>83</v>
      </c>
      <c r="E111" s="75">
        <v>62</v>
      </c>
      <c r="F111" s="75">
        <v>32</v>
      </c>
      <c r="G111" s="75">
        <v>83</v>
      </c>
      <c r="H111" s="75">
        <v>95</v>
      </c>
      <c r="I111" s="75">
        <v>355</v>
      </c>
      <c r="J111" s="75">
        <v>500</v>
      </c>
      <c r="K111" s="77">
        <v>0.71</v>
      </c>
      <c r="L111" s="77">
        <v>0.28999999999999998</v>
      </c>
    </row>
    <row r="112" spans="1:12" ht="15" thickBot="1">
      <c r="A112" s="73" t="s">
        <v>791</v>
      </c>
      <c r="B112" s="74" t="s">
        <v>792</v>
      </c>
      <c r="C112" s="74" t="s">
        <v>584</v>
      </c>
      <c r="D112" s="75">
        <v>39</v>
      </c>
      <c r="E112" s="75">
        <v>52</v>
      </c>
      <c r="F112" s="75">
        <v>72</v>
      </c>
      <c r="G112" s="75">
        <v>99</v>
      </c>
      <c r="H112" s="75">
        <v>58</v>
      </c>
      <c r="I112" s="75">
        <v>320</v>
      </c>
      <c r="J112" s="75">
        <v>500</v>
      </c>
      <c r="K112" s="77">
        <v>0.64</v>
      </c>
      <c r="L112" s="77">
        <v>0.36</v>
      </c>
    </row>
    <row r="113" spans="1:12" ht="15" thickBot="1">
      <c r="A113" s="73" t="s">
        <v>793</v>
      </c>
      <c r="B113" s="74" t="s">
        <v>794</v>
      </c>
      <c r="C113" s="74" t="s">
        <v>276</v>
      </c>
      <c r="D113" s="75">
        <v>93</v>
      </c>
      <c r="E113" s="75">
        <v>74</v>
      </c>
      <c r="F113" s="75">
        <v>85</v>
      </c>
      <c r="G113" s="75">
        <v>47</v>
      </c>
      <c r="H113" s="75">
        <v>90</v>
      </c>
      <c r="I113" s="75">
        <v>389</v>
      </c>
      <c r="J113" s="75">
        <v>500</v>
      </c>
      <c r="K113" s="77">
        <v>0.77800000000000002</v>
      </c>
      <c r="L113" s="77">
        <v>0.222</v>
      </c>
    </row>
    <row r="114" spans="1:12" ht="15" thickBot="1">
      <c r="A114" s="73" t="s">
        <v>795</v>
      </c>
      <c r="B114" s="74" t="s">
        <v>796</v>
      </c>
      <c r="C114" s="74" t="s">
        <v>249</v>
      </c>
      <c r="D114" s="75">
        <v>43</v>
      </c>
      <c r="E114" s="75">
        <v>88</v>
      </c>
      <c r="F114" s="75">
        <v>35</v>
      </c>
      <c r="G114" s="75">
        <v>54</v>
      </c>
      <c r="H114" s="75">
        <v>91</v>
      </c>
      <c r="I114" s="75">
        <v>311</v>
      </c>
      <c r="J114" s="75">
        <v>500</v>
      </c>
      <c r="K114" s="77">
        <v>0.622</v>
      </c>
      <c r="L114" s="77">
        <v>0.378</v>
      </c>
    </row>
    <row r="115" spans="1:12" ht="15" thickBot="1">
      <c r="A115" s="73" t="s">
        <v>797</v>
      </c>
      <c r="B115" s="74" t="s">
        <v>798</v>
      </c>
      <c r="C115" s="74" t="s">
        <v>252</v>
      </c>
      <c r="D115" s="75">
        <v>87</v>
      </c>
      <c r="E115" s="75">
        <v>15</v>
      </c>
      <c r="F115" s="75">
        <v>11</v>
      </c>
      <c r="G115" s="75">
        <v>42</v>
      </c>
      <c r="H115" s="75">
        <v>88</v>
      </c>
      <c r="I115" s="75">
        <v>243</v>
      </c>
      <c r="J115" s="75">
        <v>500</v>
      </c>
      <c r="K115" s="77">
        <v>0.48599999999999999</v>
      </c>
      <c r="L115" s="77">
        <v>0.51400000000000001</v>
      </c>
    </row>
    <row r="116" spans="1:12" ht="29.4" thickBot="1">
      <c r="A116" s="73" t="s">
        <v>799</v>
      </c>
      <c r="B116" s="74" t="s">
        <v>800</v>
      </c>
      <c r="C116" s="74" t="s">
        <v>231</v>
      </c>
      <c r="D116" s="75">
        <v>45</v>
      </c>
      <c r="E116" s="75">
        <v>45</v>
      </c>
      <c r="F116" s="75">
        <v>61</v>
      </c>
      <c r="G116" s="75">
        <v>11</v>
      </c>
      <c r="H116" s="75">
        <v>52</v>
      </c>
      <c r="I116" s="75">
        <v>214</v>
      </c>
      <c r="J116" s="75">
        <v>500</v>
      </c>
      <c r="K116" s="77">
        <v>0.42799999999999999</v>
      </c>
      <c r="L116" s="77">
        <v>0.57199999999999995</v>
      </c>
    </row>
    <row r="117" spans="1:12" ht="15" thickBot="1">
      <c r="A117" s="73" t="s">
        <v>801</v>
      </c>
      <c r="B117" s="74" t="s">
        <v>802</v>
      </c>
      <c r="C117" s="74" t="s">
        <v>255</v>
      </c>
      <c r="D117" s="75">
        <v>71</v>
      </c>
      <c r="E117" s="75">
        <v>42</v>
      </c>
      <c r="F117" s="75">
        <v>17</v>
      </c>
      <c r="G117" s="75">
        <v>57</v>
      </c>
      <c r="H117" s="75">
        <v>96</v>
      </c>
      <c r="I117" s="75">
        <v>283</v>
      </c>
      <c r="J117" s="75">
        <v>500</v>
      </c>
      <c r="K117" s="77">
        <v>0.56599999999999995</v>
      </c>
      <c r="L117" s="77">
        <v>0.434</v>
      </c>
    </row>
    <row r="118" spans="1:12" ht="15" thickBot="1">
      <c r="A118" s="73" t="s">
        <v>803</v>
      </c>
      <c r="B118" s="74" t="s">
        <v>804</v>
      </c>
      <c r="C118" s="74" t="s">
        <v>274</v>
      </c>
      <c r="D118" s="75">
        <v>26</v>
      </c>
      <c r="E118" s="75">
        <v>65</v>
      </c>
      <c r="F118" s="75">
        <v>17</v>
      </c>
      <c r="G118" s="75">
        <v>28</v>
      </c>
      <c r="H118" s="75">
        <v>30</v>
      </c>
      <c r="I118" s="75">
        <v>166</v>
      </c>
      <c r="J118" s="75">
        <v>500</v>
      </c>
      <c r="K118" s="77">
        <v>0.33200000000000002</v>
      </c>
      <c r="L118" s="77">
        <v>0.66800000000000004</v>
      </c>
    </row>
    <row r="119" spans="1:12" ht="15" thickBot="1">
      <c r="A119" s="73" t="s">
        <v>805</v>
      </c>
      <c r="B119" s="74" t="s">
        <v>806</v>
      </c>
      <c r="C119" s="74" t="s">
        <v>581</v>
      </c>
      <c r="D119" s="75">
        <v>26</v>
      </c>
      <c r="E119" s="75">
        <v>61</v>
      </c>
      <c r="F119" s="75">
        <v>89</v>
      </c>
      <c r="G119" s="75">
        <v>71</v>
      </c>
      <c r="H119" s="75">
        <v>33</v>
      </c>
      <c r="I119" s="75">
        <v>280</v>
      </c>
      <c r="J119" s="75">
        <v>500</v>
      </c>
      <c r="K119" s="77">
        <v>0.56000000000000005</v>
      </c>
      <c r="L119" s="77">
        <v>0.44</v>
      </c>
    </row>
    <row r="120" spans="1:12" ht="15" thickBot="1">
      <c r="A120" s="73" t="s">
        <v>807</v>
      </c>
      <c r="B120" s="74" t="s">
        <v>808</v>
      </c>
      <c r="C120" s="74" t="s">
        <v>584</v>
      </c>
      <c r="D120" s="75">
        <v>93</v>
      </c>
      <c r="E120" s="75">
        <v>11</v>
      </c>
      <c r="F120" s="75">
        <v>93</v>
      </c>
      <c r="G120" s="75">
        <v>31</v>
      </c>
      <c r="H120" s="75">
        <v>30</v>
      </c>
      <c r="I120" s="75">
        <v>258</v>
      </c>
      <c r="J120" s="75">
        <v>500</v>
      </c>
      <c r="K120" s="77">
        <v>0.51600000000000001</v>
      </c>
      <c r="L120" s="77">
        <v>0.48399999999999999</v>
      </c>
    </row>
    <row r="121" spans="1:12" ht="15" thickBot="1">
      <c r="A121" s="73" t="s">
        <v>809</v>
      </c>
      <c r="B121" s="74" t="s">
        <v>810</v>
      </c>
      <c r="C121" s="74" t="s">
        <v>276</v>
      </c>
      <c r="D121" s="75">
        <v>65</v>
      </c>
      <c r="E121" s="75">
        <v>92</v>
      </c>
      <c r="F121" s="75">
        <v>48</v>
      </c>
      <c r="G121" s="75">
        <v>96</v>
      </c>
      <c r="H121" s="75">
        <v>15</v>
      </c>
      <c r="I121" s="75">
        <v>316</v>
      </c>
      <c r="J121" s="75">
        <v>500</v>
      </c>
      <c r="K121" s="77">
        <v>0.63200000000000001</v>
      </c>
      <c r="L121" s="77">
        <v>0.36799999999999999</v>
      </c>
    </row>
    <row r="122" spans="1:12" ht="15" thickBot="1">
      <c r="A122" s="73" t="s">
        <v>811</v>
      </c>
      <c r="B122" s="74" t="s">
        <v>812</v>
      </c>
      <c r="C122" s="74" t="s">
        <v>249</v>
      </c>
      <c r="D122" s="75">
        <v>91</v>
      </c>
      <c r="E122" s="75">
        <v>38</v>
      </c>
      <c r="F122" s="75">
        <v>33</v>
      </c>
      <c r="G122" s="75">
        <v>55</v>
      </c>
      <c r="H122" s="75">
        <v>83</v>
      </c>
      <c r="I122" s="75">
        <v>300</v>
      </c>
      <c r="J122" s="75">
        <v>500</v>
      </c>
      <c r="K122" s="77">
        <v>0.6</v>
      </c>
      <c r="L122" s="77">
        <v>0.4</v>
      </c>
    </row>
    <row r="123" spans="1:12" ht="15" thickBot="1">
      <c r="A123" s="73" t="s">
        <v>813</v>
      </c>
      <c r="B123" s="74" t="s">
        <v>814</v>
      </c>
      <c r="C123" s="74" t="s">
        <v>252</v>
      </c>
      <c r="D123" s="75">
        <v>20</v>
      </c>
      <c r="E123" s="75">
        <v>94</v>
      </c>
      <c r="F123" s="75">
        <v>45</v>
      </c>
      <c r="G123" s="75">
        <v>70</v>
      </c>
      <c r="H123" s="75">
        <v>98</v>
      </c>
      <c r="I123" s="75">
        <v>327</v>
      </c>
      <c r="J123" s="75">
        <v>500</v>
      </c>
      <c r="K123" s="77">
        <v>0.65400000000000003</v>
      </c>
      <c r="L123" s="77">
        <v>0.34599999999999997</v>
      </c>
    </row>
    <row r="124" spans="1:12" ht="15" thickBot="1">
      <c r="A124" s="73" t="s">
        <v>815</v>
      </c>
      <c r="B124" s="74" t="s">
        <v>816</v>
      </c>
      <c r="C124" s="74" t="s">
        <v>231</v>
      </c>
      <c r="D124" s="75">
        <v>25</v>
      </c>
      <c r="E124" s="75">
        <v>83</v>
      </c>
      <c r="F124" s="75">
        <v>26</v>
      </c>
      <c r="G124" s="75">
        <v>68</v>
      </c>
      <c r="H124" s="75">
        <v>22</v>
      </c>
      <c r="I124" s="75">
        <v>224</v>
      </c>
      <c r="J124" s="75">
        <v>500</v>
      </c>
      <c r="K124" s="77">
        <v>0.44800000000000001</v>
      </c>
      <c r="L124" s="77">
        <v>0.55200000000000005</v>
      </c>
    </row>
    <row r="125" spans="1:12" ht="15" thickBot="1">
      <c r="A125" s="73" t="s">
        <v>817</v>
      </c>
      <c r="B125" s="74" t="s">
        <v>818</v>
      </c>
      <c r="C125" s="74" t="s">
        <v>255</v>
      </c>
      <c r="D125" s="75">
        <v>26</v>
      </c>
      <c r="E125" s="75">
        <v>16</v>
      </c>
      <c r="F125" s="75">
        <v>61</v>
      </c>
      <c r="G125" s="75">
        <v>92</v>
      </c>
      <c r="H125" s="75">
        <v>50</v>
      </c>
      <c r="I125" s="75">
        <v>245</v>
      </c>
      <c r="J125" s="75">
        <v>500</v>
      </c>
      <c r="K125" s="77">
        <v>0.49</v>
      </c>
      <c r="L125" s="77">
        <v>0.51</v>
      </c>
    </row>
    <row r="126" spans="1:12" ht="15" thickBot="1">
      <c r="A126" s="73" t="s">
        <v>819</v>
      </c>
      <c r="B126" s="74" t="s">
        <v>820</v>
      </c>
      <c r="C126" s="74" t="s">
        <v>274</v>
      </c>
      <c r="D126" s="75">
        <v>31</v>
      </c>
      <c r="E126" s="75">
        <v>55</v>
      </c>
      <c r="F126" s="75">
        <v>75</v>
      </c>
      <c r="G126" s="75">
        <v>66</v>
      </c>
      <c r="H126" s="75">
        <v>75</v>
      </c>
      <c r="I126" s="75">
        <v>302</v>
      </c>
      <c r="J126" s="75">
        <v>500</v>
      </c>
      <c r="K126" s="77">
        <v>0.60399999999999998</v>
      </c>
      <c r="L126" s="77">
        <v>0.39600000000000002</v>
      </c>
    </row>
    <row r="127" spans="1:12" ht="15" thickBot="1">
      <c r="A127" s="73" t="s">
        <v>821</v>
      </c>
      <c r="B127" s="74" t="s">
        <v>822</v>
      </c>
      <c r="C127" s="74" t="s">
        <v>581</v>
      </c>
      <c r="D127" s="75">
        <v>41</v>
      </c>
      <c r="E127" s="75">
        <v>66</v>
      </c>
      <c r="F127" s="75">
        <v>48</v>
      </c>
      <c r="G127" s="75">
        <v>70</v>
      </c>
      <c r="H127" s="75">
        <v>48</v>
      </c>
      <c r="I127" s="75">
        <v>273</v>
      </c>
      <c r="J127" s="75">
        <v>500</v>
      </c>
      <c r="K127" s="77">
        <v>0.54600000000000004</v>
      </c>
      <c r="L127" s="77">
        <v>0.45400000000000001</v>
      </c>
    </row>
    <row r="128" spans="1:12" ht="15" thickBot="1">
      <c r="A128" s="73" t="s">
        <v>823</v>
      </c>
      <c r="B128" s="74" t="s">
        <v>824</v>
      </c>
      <c r="C128" s="74" t="s">
        <v>584</v>
      </c>
      <c r="D128" s="75">
        <v>60</v>
      </c>
      <c r="E128" s="75">
        <v>92</v>
      </c>
      <c r="F128" s="75">
        <v>32</v>
      </c>
      <c r="G128" s="75">
        <v>60</v>
      </c>
      <c r="H128" s="75">
        <v>78</v>
      </c>
      <c r="I128" s="75">
        <v>322</v>
      </c>
      <c r="J128" s="75">
        <v>500</v>
      </c>
      <c r="K128" s="77">
        <v>0.64400000000000002</v>
      </c>
      <c r="L128" s="77">
        <v>0.35599999999999998</v>
      </c>
    </row>
    <row r="129" spans="1:12" ht="15" thickBot="1">
      <c r="A129" s="73" t="s">
        <v>825</v>
      </c>
      <c r="B129" s="74" t="s">
        <v>826</v>
      </c>
      <c r="C129" s="74" t="s">
        <v>276</v>
      </c>
      <c r="D129" s="75">
        <v>42</v>
      </c>
      <c r="E129" s="75">
        <v>24</v>
      </c>
      <c r="F129" s="75">
        <v>19</v>
      </c>
      <c r="G129" s="75">
        <v>82</v>
      </c>
      <c r="H129" s="75">
        <v>16</v>
      </c>
      <c r="I129" s="75">
        <v>183</v>
      </c>
      <c r="J129" s="75">
        <v>500</v>
      </c>
      <c r="K129" s="77">
        <v>0.36599999999999999</v>
      </c>
      <c r="L129" s="77">
        <v>0.63400000000000001</v>
      </c>
    </row>
    <row r="130" spans="1:12" ht="15" thickBot="1">
      <c r="A130" s="73" t="s">
        <v>827</v>
      </c>
      <c r="B130" s="74" t="s">
        <v>828</v>
      </c>
      <c r="C130" s="74" t="s">
        <v>249</v>
      </c>
      <c r="D130" s="75">
        <v>26</v>
      </c>
      <c r="E130" s="75">
        <v>85</v>
      </c>
      <c r="F130" s="75">
        <v>75</v>
      </c>
      <c r="G130" s="75">
        <v>83</v>
      </c>
      <c r="H130" s="75">
        <v>37</v>
      </c>
      <c r="I130" s="75">
        <v>306</v>
      </c>
      <c r="J130" s="75">
        <v>500</v>
      </c>
      <c r="K130" s="77">
        <v>0.61199999999999999</v>
      </c>
      <c r="L130" s="77">
        <v>0.38800000000000001</v>
      </c>
    </row>
    <row r="131" spans="1:12" ht="15" thickBot="1">
      <c r="A131" s="73" t="s">
        <v>829</v>
      </c>
      <c r="B131" s="74" t="s">
        <v>830</v>
      </c>
      <c r="C131" s="74" t="s">
        <v>252</v>
      </c>
      <c r="D131" s="75">
        <v>81</v>
      </c>
      <c r="E131" s="75">
        <v>68</v>
      </c>
      <c r="F131" s="75">
        <v>74</v>
      </c>
      <c r="G131" s="75">
        <v>72</v>
      </c>
      <c r="H131" s="75">
        <v>12</v>
      </c>
      <c r="I131" s="75">
        <v>307</v>
      </c>
      <c r="J131" s="75">
        <v>500</v>
      </c>
      <c r="K131" s="77">
        <v>0.61399999999999999</v>
      </c>
      <c r="L131" s="77">
        <v>0.38600000000000001</v>
      </c>
    </row>
    <row r="132" spans="1:12" ht="15" thickBot="1">
      <c r="A132" s="73" t="s">
        <v>831</v>
      </c>
      <c r="B132" s="74" t="s">
        <v>832</v>
      </c>
      <c r="C132" s="74" t="s">
        <v>231</v>
      </c>
      <c r="D132" s="75">
        <v>90</v>
      </c>
      <c r="E132" s="75">
        <v>79</v>
      </c>
      <c r="F132" s="75">
        <v>99</v>
      </c>
      <c r="G132" s="75">
        <v>60</v>
      </c>
      <c r="H132" s="75">
        <v>27</v>
      </c>
      <c r="I132" s="75">
        <v>355</v>
      </c>
      <c r="J132" s="75">
        <v>500</v>
      </c>
      <c r="K132" s="77">
        <v>0.71</v>
      </c>
      <c r="L132" s="77">
        <v>0.28999999999999998</v>
      </c>
    </row>
    <row r="133" spans="1:12" ht="15" thickBot="1">
      <c r="A133" s="73" t="s">
        <v>833</v>
      </c>
      <c r="B133" s="74" t="s">
        <v>834</v>
      </c>
      <c r="C133" s="74" t="s">
        <v>255</v>
      </c>
      <c r="D133" s="75">
        <v>71</v>
      </c>
      <c r="E133" s="75">
        <v>21</v>
      </c>
      <c r="F133" s="75">
        <v>70</v>
      </c>
      <c r="G133" s="75">
        <v>53</v>
      </c>
      <c r="H133" s="75">
        <v>49</v>
      </c>
      <c r="I133" s="75">
        <v>264</v>
      </c>
      <c r="J133" s="75">
        <v>500</v>
      </c>
      <c r="K133" s="77">
        <v>0.52800000000000002</v>
      </c>
      <c r="L133" s="77">
        <v>0.47199999999999998</v>
      </c>
    </row>
    <row r="134" spans="1:12" ht="15" thickBot="1">
      <c r="A134" s="73" t="s">
        <v>835</v>
      </c>
      <c r="B134" s="74" t="s">
        <v>836</v>
      </c>
      <c r="C134" s="74" t="s">
        <v>274</v>
      </c>
      <c r="D134" s="75">
        <v>86</v>
      </c>
      <c r="E134" s="75">
        <v>60</v>
      </c>
      <c r="F134" s="75">
        <v>59</v>
      </c>
      <c r="G134" s="75">
        <v>51</v>
      </c>
      <c r="H134" s="75">
        <v>90</v>
      </c>
      <c r="I134" s="75">
        <v>346</v>
      </c>
      <c r="J134" s="75">
        <v>500</v>
      </c>
      <c r="K134" s="77">
        <v>0.69199999999999995</v>
      </c>
      <c r="L134" s="77">
        <v>0.308</v>
      </c>
    </row>
    <row r="135" spans="1:12" ht="15" thickBot="1">
      <c r="A135" s="73" t="s">
        <v>837</v>
      </c>
      <c r="B135" s="74" t="s">
        <v>838</v>
      </c>
      <c r="C135" s="74" t="s">
        <v>581</v>
      </c>
      <c r="D135" s="75">
        <v>68</v>
      </c>
      <c r="E135" s="75">
        <v>61</v>
      </c>
      <c r="F135" s="75">
        <v>12</v>
      </c>
      <c r="G135" s="75">
        <v>41</v>
      </c>
      <c r="H135" s="75">
        <v>35</v>
      </c>
      <c r="I135" s="75">
        <v>217</v>
      </c>
      <c r="J135" s="75">
        <v>500</v>
      </c>
      <c r="K135" s="77">
        <v>0.434</v>
      </c>
      <c r="L135" s="77">
        <v>0.56599999999999995</v>
      </c>
    </row>
    <row r="136" spans="1:12" ht="15" thickBot="1">
      <c r="A136" s="73" t="s">
        <v>839</v>
      </c>
      <c r="B136" s="74" t="s">
        <v>840</v>
      </c>
      <c r="C136" s="74" t="s">
        <v>584</v>
      </c>
      <c r="D136" s="75">
        <v>65</v>
      </c>
      <c r="E136" s="75">
        <v>34</v>
      </c>
      <c r="F136" s="75">
        <v>15</v>
      </c>
      <c r="G136" s="75">
        <v>86</v>
      </c>
      <c r="H136" s="75">
        <v>71</v>
      </c>
      <c r="I136" s="75">
        <v>271</v>
      </c>
      <c r="J136" s="75">
        <v>500</v>
      </c>
      <c r="K136" s="77">
        <v>0.54200000000000004</v>
      </c>
      <c r="L136" s="77">
        <v>0.45800000000000002</v>
      </c>
    </row>
    <row r="137" spans="1:12" ht="15" thickBot="1">
      <c r="A137" s="73" t="s">
        <v>841</v>
      </c>
      <c r="B137" s="74" t="s">
        <v>842</v>
      </c>
      <c r="C137" s="74" t="s">
        <v>276</v>
      </c>
      <c r="D137" s="75">
        <v>91</v>
      </c>
      <c r="E137" s="75">
        <v>21</v>
      </c>
      <c r="F137" s="75">
        <v>59</v>
      </c>
      <c r="G137" s="75">
        <v>85</v>
      </c>
      <c r="H137" s="75">
        <v>60</v>
      </c>
      <c r="I137" s="75">
        <v>316</v>
      </c>
      <c r="J137" s="75">
        <v>500</v>
      </c>
      <c r="K137" s="77">
        <v>0.63200000000000001</v>
      </c>
      <c r="L137" s="77">
        <v>0.36799999999999999</v>
      </c>
    </row>
    <row r="138" spans="1:12" ht="15" thickBot="1">
      <c r="A138" s="73" t="s">
        <v>843</v>
      </c>
      <c r="B138" s="74" t="s">
        <v>844</v>
      </c>
      <c r="C138" s="74" t="s">
        <v>249</v>
      </c>
      <c r="D138" s="75">
        <v>73</v>
      </c>
      <c r="E138" s="75">
        <v>67</v>
      </c>
      <c r="F138" s="75">
        <v>49</v>
      </c>
      <c r="G138" s="75">
        <v>56</v>
      </c>
      <c r="H138" s="75">
        <v>43</v>
      </c>
      <c r="I138" s="75">
        <v>288</v>
      </c>
      <c r="J138" s="75">
        <v>500</v>
      </c>
      <c r="K138" s="77">
        <v>0.57599999999999996</v>
      </c>
      <c r="L138" s="77">
        <v>0.42399999999999999</v>
      </c>
    </row>
    <row r="139" spans="1:12" ht="15" thickBot="1">
      <c r="A139" s="73" t="s">
        <v>845</v>
      </c>
      <c r="B139" s="74" t="s">
        <v>846</v>
      </c>
      <c r="C139" s="74" t="s">
        <v>252</v>
      </c>
      <c r="D139" s="75">
        <v>72</v>
      </c>
      <c r="E139" s="75">
        <v>49</v>
      </c>
      <c r="F139" s="75">
        <v>93</v>
      </c>
      <c r="G139" s="75">
        <v>95</v>
      </c>
      <c r="H139" s="75">
        <v>73</v>
      </c>
      <c r="I139" s="75">
        <v>382</v>
      </c>
      <c r="J139" s="75">
        <v>500</v>
      </c>
      <c r="K139" s="77">
        <v>0.76400000000000001</v>
      </c>
      <c r="L139" s="77">
        <v>0.23599999999999999</v>
      </c>
    </row>
    <row r="140" spans="1:12" ht="15" thickBot="1">
      <c r="A140" s="73" t="s">
        <v>847</v>
      </c>
      <c r="B140" s="74" t="s">
        <v>848</v>
      </c>
      <c r="C140" s="74" t="s">
        <v>231</v>
      </c>
      <c r="D140" s="75">
        <v>85</v>
      </c>
      <c r="E140" s="75">
        <v>43</v>
      </c>
      <c r="F140" s="75">
        <v>74</v>
      </c>
      <c r="G140" s="75">
        <v>26</v>
      </c>
      <c r="H140" s="75">
        <v>88</v>
      </c>
      <c r="I140" s="75">
        <v>316</v>
      </c>
      <c r="J140" s="75">
        <v>500</v>
      </c>
      <c r="K140" s="77">
        <v>0.63200000000000001</v>
      </c>
      <c r="L140" s="77">
        <v>0.36799999999999999</v>
      </c>
    </row>
    <row r="141" spans="1:12" ht="15" thickBot="1">
      <c r="A141" s="73" t="s">
        <v>849</v>
      </c>
      <c r="B141" s="74" t="s">
        <v>850</v>
      </c>
      <c r="C141" s="74" t="s">
        <v>255</v>
      </c>
      <c r="D141" s="75">
        <v>77</v>
      </c>
      <c r="E141" s="75">
        <v>81</v>
      </c>
      <c r="F141" s="75">
        <v>10</v>
      </c>
      <c r="G141" s="75">
        <v>65</v>
      </c>
      <c r="H141" s="75">
        <v>83</v>
      </c>
      <c r="I141" s="75">
        <v>316</v>
      </c>
      <c r="J141" s="75">
        <v>500</v>
      </c>
      <c r="K141" s="77">
        <v>0.63200000000000001</v>
      </c>
      <c r="L141" s="77">
        <v>0.36799999999999999</v>
      </c>
    </row>
    <row r="142" spans="1:12" ht="15" thickBot="1">
      <c r="A142" s="73" t="s">
        <v>851</v>
      </c>
      <c r="B142" s="74" t="s">
        <v>852</v>
      </c>
      <c r="C142" s="74" t="s">
        <v>274</v>
      </c>
      <c r="D142" s="75">
        <v>46</v>
      </c>
      <c r="E142" s="75">
        <v>52</v>
      </c>
      <c r="F142" s="75">
        <v>57</v>
      </c>
      <c r="G142" s="75">
        <v>67</v>
      </c>
      <c r="H142" s="75">
        <v>64</v>
      </c>
      <c r="I142" s="75">
        <v>286</v>
      </c>
      <c r="J142" s="75">
        <v>500</v>
      </c>
      <c r="K142" s="77">
        <v>0.57199999999999995</v>
      </c>
      <c r="L142" s="77">
        <v>0.42799999999999999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8805F-A018-43A8-95A7-8FA703FE7080}">
  <sheetPr codeName="Sheet1"/>
  <dimension ref="A1:J29"/>
  <sheetViews>
    <sheetView workbookViewId="0">
      <pane ySplit="1" topLeftCell="A14" activePane="bottomLeft" state="frozen"/>
      <selection pane="bottomLeft" activeCell="I17" sqref="I17:I21"/>
    </sheetView>
  </sheetViews>
  <sheetFormatPr defaultRowHeight="14.4"/>
  <cols>
    <col min="1" max="1" width="12.77734375" style="1" bestFit="1" customWidth="1"/>
    <col min="2" max="2" width="11.44140625" bestFit="1" customWidth="1"/>
    <col min="3" max="3" width="17.5546875" style="2" bestFit="1" customWidth="1"/>
    <col min="4" max="4" width="14.44140625" style="3" bestFit="1" customWidth="1"/>
    <col min="5" max="5" width="15.88671875" style="4" bestFit="1" customWidth="1"/>
    <col min="6" max="6" width="12.77734375" bestFit="1" customWidth="1"/>
    <col min="7" max="7" width="14.109375" bestFit="1" customWidth="1"/>
    <col min="9" max="9" width="11.33203125" bestFit="1" customWidth="1"/>
    <col min="10" max="10" width="13.21875" bestFit="1" customWidth="1"/>
  </cols>
  <sheetData>
    <row r="1" spans="1:10">
      <c r="A1" s="5" t="s">
        <v>0</v>
      </c>
      <c r="B1" s="5" t="s">
        <v>1</v>
      </c>
      <c r="C1" s="6" t="s">
        <v>2</v>
      </c>
      <c r="D1" s="7" t="s">
        <v>3</v>
      </c>
      <c r="E1" s="8" t="s">
        <v>4</v>
      </c>
    </row>
    <row r="2" spans="1:10">
      <c r="A2" s="1">
        <v>101</v>
      </c>
      <c r="B2" t="s">
        <v>5</v>
      </c>
      <c r="C2" s="2">
        <v>2450000</v>
      </c>
      <c r="D2" s="3">
        <v>0.12</v>
      </c>
      <c r="E2" s="4">
        <v>44197</v>
      </c>
    </row>
    <row r="3" spans="1:10">
      <c r="A3" s="1">
        <v>102</v>
      </c>
      <c r="B3" t="s">
        <v>6</v>
      </c>
      <c r="C3" s="2">
        <v>1120000</v>
      </c>
      <c r="D3" s="3">
        <v>-0.04</v>
      </c>
      <c r="E3" s="4">
        <v>44315</v>
      </c>
    </row>
    <row r="4" spans="1:10">
      <c r="A4" s="1">
        <v>103</v>
      </c>
      <c r="B4" t="s">
        <v>7</v>
      </c>
      <c r="C4" s="2">
        <v>4800000</v>
      </c>
      <c r="D4" s="3">
        <v>0.28000000000000003</v>
      </c>
      <c r="E4" s="4">
        <v>44560</v>
      </c>
    </row>
    <row r="5" spans="1:10">
      <c r="A5" s="1">
        <v>104</v>
      </c>
      <c r="B5" t="s">
        <v>8</v>
      </c>
      <c r="C5" s="2">
        <v>950000</v>
      </c>
      <c r="D5" s="3">
        <v>0.01</v>
      </c>
      <c r="E5" s="4">
        <v>44800</v>
      </c>
    </row>
    <row r="7" spans="1:10" ht="15" thickBot="1"/>
    <row r="8" spans="1:10" ht="15" thickBot="1">
      <c r="A8" s="9" t="s">
        <v>0</v>
      </c>
      <c r="B8" s="9" t="s">
        <v>1</v>
      </c>
      <c r="C8" s="9" t="s">
        <v>2</v>
      </c>
      <c r="D8" s="9" t="s">
        <v>3</v>
      </c>
      <c r="E8" s="9" t="s">
        <v>4</v>
      </c>
      <c r="G8" s="15" t="s">
        <v>14</v>
      </c>
      <c r="H8" s="15" t="s">
        <v>13</v>
      </c>
      <c r="I8" t="s">
        <v>17</v>
      </c>
      <c r="J8" t="s">
        <v>15</v>
      </c>
    </row>
    <row r="9" spans="1:10" ht="15" thickBot="1">
      <c r="A9" s="10">
        <v>103</v>
      </c>
      <c r="B9" s="10" t="s">
        <v>7</v>
      </c>
      <c r="C9" s="11">
        <v>4800000</v>
      </c>
      <c r="D9" s="12">
        <v>0.28000000000000003</v>
      </c>
      <c r="E9" s="13">
        <v>44560</v>
      </c>
      <c r="F9" t="str">
        <f>VLOOKUP(A9,$G$9:$H$12,2,FALSE)</f>
        <v>Amit</v>
      </c>
      <c r="G9" s="15">
        <v>101</v>
      </c>
      <c r="H9" s="1" t="s">
        <v>12</v>
      </c>
      <c r="I9" t="str">
        <f>_xlfn.XLOOKUP(A9,$G$9:$G$12,$H$9:$H$12)</f>
        <v>Amit</v>
      </c>
      <c r="J9" s="17">
        <f>VLOOKUP(A9,Sheet2!$A$2:$B$5,2,FALSE)</f>
        <v>900000</v>
      </c>
    </row>
    <row r="10" spans="1:10" ht="15" thickBot="1">
      <c r="A10" s="10">
        <v>101</v>
      </c>
      <c r="B10" s="10" t="s">
        <v>5</v>
      </c>
      <c r="C10" s="11">
        <v>2450000</v>
      </c>
      <c r="D10" s="12">
        <v>0.12</v>
      </c>
      <c r="E10" s="13">
        <v>44197</v>
      </c>
      <c r="F10" t="str">
        <f t="shared" ref="F10:F12" si="0">VLOOKUP(A10,$G$9:$H$12,2,FALSE)</f>
        <v>Sarah</v>
      </c>
      <c r="G10" s="15">
        <v>102</v>
      </c>
      <c r="H10" s="1" t="s">
        <v>11</v>
      </c>
      <c r="I10" t="str">
        <f t="shared" ref="I10:I12" si="1">_xlfn.XLOOKUP(A10,$G$9:$G$12,$H$9:$H$12)</f>
        <v>Sarah</v>
      </c>
      <c r="J10" s="17">
        <f>VLOOKUP(A10,Sheet2!$A$2:$B$5,2,FALSE)</f>
        <v>500000</v>
      </c>
    </row>
    <row r="11" spans="1:10" ht="15" thickBot="1">
      <c r="A11" s="10">
        <v>102</v>
      </c>
      <c r="B11" s="10" t="s">
        <v>6</v>
      </c>
      <c r="C11" s="11">
        <v>1120000</v>
      </c>
      <c r="D11" s="12">
        <v>-0.04</v>
      </c>
      <c r="E11" s="13">
        <v>44315</v>
      </c>
      <c r="F11" t="str">
        <f t="shared" si="0"/>
        <v>Rahul</v>
      </c>
      <c r="G11" s="15">
        <v>103</v>
      </c>
      <c r="H11" s="1" t="s">
        <v>10</v>
      </c>
      <c r="I11" t="str">
        <f t="shared" si="1"/>
        <v>Rahul</v>
      </c>
      <c r="J11" s="17">
        <f>VLOOKUP(A11,Sheet2!$A$2:$B$5,2,FALSE)</f>
        <v>350000</v>
      </c>
    </row>
    <row r="12" spans="1:10" ht="15" thickBot="1">
      <c r="A12" s="10">
        <v>104</v>
      </c>
      <c r="B12" s="10" t="s">
        <v>8</v>
      </c>
      <c r="C12" s="11">
        <v>950000</v>
      </c>
      <c r="D12" s="12">
        <v>0.01</v>
      </c>
      <c r="E12" s="13">
        <v>44800</v>
      </c>
      <c r="F12" t="str">
        <f t="shared" si="0"/>
        <v>Priya</v>
      </c>
      <c r="G12" s="15">
        <v>104</v>
      </c>
      <c r="H12" s="1" t="s">
        <v>9</v>
      </c>
      <c r="I12" t="str">
        <f t="shared" si="1"/>
        <v>Priya</v>
      </c>
      <c r="J12" s="17">
        <f>VLOOKUP(A12,Sheet2!$A$2:$B$5,2,FALSE)</f>
        <v>200000</v>
      </c>
    </row>
    <row r="13" spans="1:10">
      <c r="B13" s="14"/>
      <c r="C13" s="2">
        <f>SUM(C9:C12)</f>
        <v>9320000</v>
      </c>
      <c r="D13" s="3">
        <f>AVERAGE(D9:D12)</f>
        <v>9.2500000000000013E-2</v>
      </c>
      <c r="E13" s="2"/>
    </row>
    <row r="16" spans="1:10">
      <c r="A16" s="1" t="s">
        <v>18</v>
      </c>
      <c r="B16" t="s">
        <v>0</v>
      </c>
      <c r="C16" s="18" t="s">
        <v>19</v>
      </c>
      <c r="D16" s="19" t="s">
        <v>34</v>
      </c>
      <c r="E16" s="4" t="s">
        <v>25</v>
      </c>
      <c r="F16" t="s">
        <v>26</v>
      </c>
      <c r="G16" t="s">
        <v>27</v>
      </c>
      <c r="H16" t="s">
        <v>35</v>
      </c>
      <c r="I16" t="s">
        <v>36</v>
      </c>
    </row>
    <row r="17" spans="1:10">
      <c r="A17" s="1" t="s">
        <v>20</v>
      </c>
      <c r="B17">
        <v>103</v>
      </c>
      <c r="C17" s="18">
        <v>150</v>
      </c>
      <c r="D17" s="3" t="str">
        <f>_xlfn.XLOOKUP(B17,$E$17:$E$20,$F$17:$F$20,"Unknown Store")</f>
        <v>LOC-East</v>
      </c>
      <c r="E17" s="20">
        <v>101</v>
      </c>
      <c r="F17" t="s">
        <v>28</v>
      </c>
      <c r="G17" t="s">
        <v>29</v>
      </c>
      <c r="H17" t="str">
        <f>VLOOKUP(B17,$E$17:$G$20,3,FALSE)</f>
        <v>No</v>
      </c>
      <c r="I17" t="str">
        <f>INDEX($G$17:$G$20,MATCH(B17,$E$17:$E$20,0))</f>
        <v>No</v>
      </c>
      <c r="J17">
        <f>COUNTIF(C16:C21,"&gt;100")</f>
        <v>3</v>
      </c>
    </row>
    <row r="18" spans="1:10">
      <c r="A18" s="1" t="s">
        <v>21</v>
      </c>
      <c r="B18">
        <v>101</v>
      </c>
      <c r="C18" s="18">
        <v>80</v>
      </c>
      <c r="D18" s="3" t="str">
        <f t="shared" ref="D18:D21" si="2">_xlfn.XLOOKUP(B18,$E$17:$E$20,$F$17:$F$20,"Unknown Store")</f>
        <v>LOC-North</v>
      </c>
      <c r="E18" s="20">
        <v>102</v>
      </c>
      <c r="F18" t="s">
        <v>30</v>
      </c>
      <c r="G18" t="s">
        <v>29</v>
      </c>
      <c r="H18" t="str">
        <f t="shared" ref="H18:H20" si="3">VLOOKUP(B18,$E$17:$G$20,3,FALSE)</f>
        <v>Yes</v>
      </c>
      <c r="I18" t="str">
        <f t="shared" ref="I18:I21" si="4">INDEX($G$17:$G$20,MATCH(B18,$E$17:$E$20,0))</f>
        <v>Yes</v>
      </c>
    </row>
    <row r="19" spans="1:10">
      <c r="A19" s="1" t="s">
        <v>22</v>
      </c>
      <c r="B19">
        <v>104</v>
      </c>
      <c r="C19" s="18">
        <v>210</v>
      </c>
      <c r="D19" s="3" t="str">
        <f t="shared" si="2"/>
        <v>LOC-South</v>
      </c>
      <c r="E19" s="20">
        <v>103</v>
      </c>
      <c r="F19" t="s">
        <v>31</v>
      </c>
      <c r="G19" t="s">
        <v>32</v>
      </c>
      <c r="H19" t="str">
        <f t="shared" si="3"/>
        <v>Yes</v>
      </c>
      <c r="I19" t="str">
        <f t="shared" si="4"/>
        <v>Yes</v>
      </c>
    </row>
    <row r="20" spans="1:10">
      <c r="A20" s="1" t="s">
        <v>23</v>
      </c>
      <c r="B20">
        <v>999</v>
      </c>
      <c r="C20" s="18">
        <v>45</v>
      </c>
      <c r="D20" s="3" t="str">
        <f t="shared" si="2"/>
        <v>Unknown Store</v>
      </c>
      <c r="E20" s="20">
        <v>104</v>
      </c>
      <c r="F20" t="s">
        <v>33</v>
      </c>
      <c r="G20" t="s">
        <v>29</v>
      </c>
      <c r="H20" t="e">
        <f t="shared" si="3"/>
        <v>#N/A</v>
      </c>
      <c r="I20" t="e">
        <f t="shared" si="4"/>
        <v>#N/A</v>
      </c>
    </row>
    <row r="21" spans="1:10">
      <c r="A21" s="1" t="s">
        <v>24</v>
      </c>
      <c r="B21">
        <v>102</v>
      </c>
      <c r="C21" s="18">
        <v>115</v>
      </c>
      <c r="D21" s="3" t="str">
        <f t="shared" si="2"/>
        <v>LOC-West</v>
      </c>
      <c r="H21" t="str">
        <f>VLOOKUP(B21,$E$17:$G$20,3,FALSE)</f>
        <v>Yes</v>
      </c>
      <c r="I21" t="str">
        <f t="shared" si="4"/>
        <v>Yes</v>
      </c>
    </row>
    <row r="23" spans="1:10">
      <c r="I23">
        <f>MATCH(B17,$E$17:$E$20,0)</f>
        <v>3</v>
      </c>
    </row>
    <row r="25" spans="1:10">
      <c r="E25" s="4" t="str">
        <f>VLOOKUP(B17,$E$17:$G$20,3,FALSE)</f>
        <v>No</v>
      </c>
    </row>
    <row r="26" spans="1:10">
      <c r="E26" s="4" t="str">
        <f t="shared" ref="E26:E29" si="5">VLOOKUP(B18,$E$17:$G$20,3,FALSE)</f>
        <v>Yes</v>
      </c>
    </row>
    <row r="27" spans="1:10">
      <c r="E27" s="4" t="str">
        <f t="shared" si="5"/>
        <v>Yes</v>
      </c>
    </row>
    <row r="28" spans="1:10">
      <c r="E28" s="4" t="e">
        <f t="shared" si="5"/>
        <v>#N/A</v>
      </c>
    </row>
    <row r="29" spans="1:10">
      <c r="E29" s="4" t="str">
        <f t="shared" si="5"/>
        <v>Yes</v>
      </c>
    </row>
  </sheetData>
  <autoFilter ref="A8:E12" xr:uid="{F288805F-A018-43A8-95A7-8FA703FE7080}">
    <sortState xmlns:xlrd2="http://schemas.microsoft.com/office/spreadsheetml/2017/richdata2" ref="A9:E12">
      <sortCondition descending="1" ref="C8:C12"/>
    </sortState>
  </autoFilter>
  <dataValidations disablePrompts="1" count="2">
    <dataValidation type="list" allowBlank="1" showInputMessage="1" showErrorMessage="1" sqref="B2" xr:uid="{8420D563-B52F-4659-9CB1-D8C8B02F7DB6}">
      <formula1>"Potty,SUSU"</formula1>
    </dataValidation>
    <dataValidation type="list" allowBlank="1" showInputMessage="1" showErrorMessage="1" sqref="B9:B12" xr:uid="{5F44DF8B-DBE4-4EF1-8DA7-A89C32468C38}">
      <formula1>"North,South,East,West"</formula1>
    </dataValidation>
  </dataValidations>
  <pageMargins left="0.7" right="0.7" top="0.75" bottom="0.75" header="0.3" footer="0.3"/>
  <ignoredErrors>
    <ignoredError sqref="H20" evalError="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EF79D9-6443-4BE4-A13D-8A2FF8E2EC9D}">
  <sheetPr codeName="Sheet2"/>
  <dimension ref="A1:C5"/>
  <sheetViews>
    <sheetView workbookViewId="0">
      <selection activeCell="B4" sqref="B4"/>
    </sheetView>
  </sheetViews>
  <sheetFormatPr defaultRowHeight="14.4"/>
  <cols>
    <col min="1" max="1" width="7.5546875" bestFit="1" customWidth="1"/>
    <col min="2" max="2" width="13.21875" style="16" bestFit="1" customWidth="1"/>
    <col min="3" max="3" width="9" style="17" bestFit="1" customWidth="1"/>
  </cols>
  <sheetData>
    <row r="1" spans="1:3">
      <c r="A1" t="s">
        <v>0</v>
      </c>
      <c r="B1" s="16" t="s">
        <v>15</v>
      </c>
      <c r="C1" s="17" t="s">
        <v>16</v>
      </c>
    </row>
    <row r="2" spans="1:3">
      <c r="A2">
        <v>101</v>
      </c>
      <c r="B2" s="16">
        <v>500000</v>
      </c>
      <c r="C2" s="17">
        <v>12000</v>
      </c>
    </row>
    <row r="3" spans="1:3">
      <c r="A3">
        <v>102</v>
      </c>
      <c r="B3" s="16">
        <v>350000</v>
      </c>
      <c r="C3" s="17">
        <v>8500</v>
      </c>
    </row>
    <row r="4" spans="1:3">
      <c r="A4">
        <v>103</v>
      </c>
      <c r="B4" s="16">
        <v>900000</v>
      </c>
      <c r="C4" s="17">
        <v>22000</v>
      </c>
    </row>
    <row r="5" spans="1:3">
      <c r="A5">
        <v>104</v>
      </c>
      <c r="B5" s="16">
        <v>200000</v>
      </c>
      <c r="C5" s="17">
        <v>5000</v>
      </c>
    </row>
  </sheetData>
  <autoFilter ref="A1:C5" xr:uid="{CCEF79D9-6443-4BE4-A13D-8A2FF8E2EC9D}"/>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99F5E2-5587-43F2-82EC-7BFC3FB6986D}">
  <sheetPr codeName="Sheet3"/>
  <dimension ref="A1:H13"/>
  <sheetViews>
    <sheetView workbookViewId="0">
      <selection activeCell="H3" sqref="H3"/>
    </sheetView>
  </sheetViews>
  <sheetFormatPr defaultRowHeight="14.4"/>
  <cols>
    <col min="1" max="1" width="11.5546875" customWidth="1"/>
    <col min="2" max="2" width="11.5546875" bestFit="1" customWidth="1"/>
    <col min="3" max="3" width="11" bestFit="1" customWidth="1"/>
    <col min="4" max="4" width="10.44140625" bestFit="1" customWidth="1"/>
    <col min="5" max="5" width="10.33203125" bestFit="1" customWidth="1"/>
    <col min="7" max="7" width="11.44140625" customWidth="1"/>
    <col min="8" max="8" width="13.5546875" customWidth="1"/>
  </cols>
  <sheetData>
    <row r="1" spans="1:8" ht="29.4" thickBot="1">
      <c r="A1" s="21" t="s">
        <v>37</v>
      </c>
      <c r="B1" s="22" t="s">
        <v>38</v>
      </c>
      <c r="C1" s="22" t="s">
        <v>39</v>
      </c>
      <c r="D1" s="22" t="s">
        <v>40</v>
      </c>
      <c r="E1" s="22" t="s">
        <v>41</v>
      </c>
    </row>
    <row r="2" spans="1:8" ht="15" thickBot="1">
      <c r="A2" s="23" t="s">
        <v>42</v>
      </c>
      <c r="B2" s="24" t="s">
        <v>43</v>
      </c>
      <c r="C2" s="24" t="s">
        <v>44</v>
      </c>
      <c r="D2" s="25">
        <v>41954</v>
      </c>
      <c r="E2" s="27">
        <v>43831</v>
      </c>
      <c r="G2" s="21" t="s">
        <v>37</v>
      </c>
      <c r="H2" t="s">
        <v>68</v>
      </c>
    </row>
    <row r="3" spans="1:8" ht="15" thickBot="1">
      <c r="A3" s="23" t="s">
        <v>45</v>
      </c>
      <c r="B3" s="24" t="s">
        <v>46</v>
      </c>
      <c r="C3" s="24" t="s">
        <v>47</v>
      </c>
      <c r="D3" s="25">
        <v>49855</v>
      </c>
      <c r="E3" s="27">
        <v>43862</v>
      </c>
      <c r="G3" s="22" t="s">
        <v>38</v>
      </c>
      <c r="H3" t="str">
        <f>VLOOKUP($H$2,$A$1:$E$13,ROW()-1,FALSE)</f>
        <v>Employee_2</v>
      </c>
    </row>
    <row r="4" spans="1:8" ht="15" thickBot="1">
      <c r="A4" s="23" t="s">
        <v>48</v>
      </c>
      <c r="B4" s="24" t="s">
        <v>49</v>
      </c>
      <c r="C4" s="24" t="s">
        <v>50</v>
      </c>
      <c r="D4" s="25">
        <v>94210</v>
      </c>
      <c r="E4" s="27">
        <v>43891</v>
      </c>
      <c r="G4" s="22" t="s">
        <v>39</v>
      </c>
      <c r="H4" t="str">
        <f t="shared" ref="H4:H6" si="0">VLOOKUP($H$2,$A$1:$E$13,ROW()-1,FALSE)</f>
        <v>Operations</v>
      </c>
    </row>
    <row r="5" spans="1:8" ht="15" thickBot="1">
      <c r="A5" s="23" t="s">
        <v>51</v>
      </c>
      <c r="B5" s="24" t="s">
        <v>52</v>
      </c>
      <c r="C5" s="24" t="s">
        <v>44</v>
      </c>
      <c r="D5" s="25">
        <v>74689</v>
      </c>
      <c r="E5" s="27">
        <v>43922</v>
      </c>
      <c r="G5" s="22" t="s">
        <v>40</v>
      </c>
      <c r="H5" s="16">
        <f>VLOOKUP($H$2,$A$1:$E$13,ROW()-1,FALSE)</f>
        <v>49855</v>
      </c>
    </row>
    <row r="6" spans="1:8" ht="15" thickBot="1">
      <c r="A6" s="23" t="s">
        <v>53</v>
      </c>
      <c r="B6" s="24" t="s">
        <v>54</v>
      </c>
      <c r="C6" s="24" t="s">
        <v>47</v>
      </c>
      <c r="D6" s="25">
        <v>90652</v>
      </c>
      <c r="E6" s="27">
        <v>43952</v>
      </c>
      <c r="G6" s="22" t="s">
        <v>41</v>
      </c>
      <c r="H6" s="26">
        <f t="shared" si="0"/>
        <v>43862</v>
      </c>
    </row>
    <row r="7" spans="1:8" ht="15" thickBot="1">
      <c r="A7" s="23" t="s">
        <v>55</v>
      </c>
      <c r="B7" s="24" t="s">
        <v>49</v>
      </c>
      <c r="C7" s="24" t="s">
        <v>47</v>
      </c>
      <c r="D7" s="25">
        <v>74820</v>
      </c>
      <c r="E7" s="27">
        <v>43983</v>
      </c>
    </row>
    <row r="8" spans="1:8" ht="15" thickBot="1">
      <c r="A8" s="23" t="s">
        <v>56</v>
      </c>
      <c r="B8" s="24" t="s">
        <v>57</v>
      </c>
      <c r="C8" s="24" t="s">
        <v>50</v>
      </c>
      <c r="D8" s="25">
        <v>85206</v>
      </c>
      <c r="E8" s="27">
        <v>44013</v>
      </c>
    </row>
    <row r="9" spans="1:8" ht="15" thickBot="1">
      <c r="A9" s="23" t="s">
        <v>58</v>
      </c>
      <c r="B9" s="24" t="s">
        <v>59</v>
      </c>
      <c r="C9" s="24" t="s">
        <v>44</v>
      </c>
      <c r="D9" s="25">
        <v>30924</v>
      </c>
      <c r="E9" s="27">
        <v>44044</v>
      </c>
    </row>
    <row r="10" spans="1:8" ht="15" thickBot="1">
      <c r="A10" s="23" t="s">
        <v>60</v>
      </c>
      <c r="B10" s="24" t="s">
        <v>61</v>
      </c>
      <c r="C10" s="24" t="s">
        <v>47</v>
      </c>
      <c r="D10" s="25">
        <v>57737</v>
      </c>
      <c r="E10" s="27">
        <v>44075</v>
      </c>
    </row>
    <row r="11" spans="1:8" ht="15" thickBot="1">
      <c r="A11" s="23" t="s">
        <v>62</v>
      </c>
      <c r="B11" s="24" t="s">
        <v>63</v>
      </c>
      <c r="C11" s="24" t="s">
        <v>50</v>
      </c>
      <c r="D11" s="25">
        <v>36000</v>
      </c>
      <c r="E11" s="27">
        <v>44105</v>
      </c>
    </row>
    <row r="12" spans="1:8" ht="15" thickBot="1">
      <c r="A12" s="23" t="s">
        <v>64</v>
      </c>
      <c r="B12" s="24" t="s">
        <v>65</v>
      </c>
      <c r="C12" s="24" t="s">
        <v>50</v>
      </c>
      <c r="D12" s="25">
        <v>96371</v>
      </c>
      <c r="E12" s="27">
        <v>44136</v>
      </c>
    </row>
    <row r="13" spans="1:8" ht="15" thickBot="1">
      <c r="A13" s="23" t="s">
        <v>66</v>
      </c>
      <c r="B13" s="24" t="s">
        <v>67</v>
      </c>
      <c r="C13" s="24" t="s">
        <v>47</v>
      </c>
      <c r="D13" s="25">
        <v>85028</v>
      </c>
      <c r="E13" s="27">
        <v>44166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54470A-75AA-468C-AB2D-E7CF193E727A}">
  <sheetPr codeName="Sheet4"/>
  <dimension ref="A1:J14"/>
  <sheetViews>
    <sheetView zoomScale="85" zoomScaleNormal="85" workbookViewId="0">
      <selection activeCell="M13" sqref="M13"/>
    </sheetView>
  </sheetViews>
  <sheetFormatPr defaultRowHeight="14.4"/>
  <cols>
    <col min="1" max="1" width="12.109375" customWidth="1"/>
    <col min="2" max="2" width="8.77734375" bestFit="1" customWidth="1"/>
    <col min="3" max="3" width="13.109375" customWidth="1"/>
    <col min="4" max="4" width="10.44140625" bestFit="1" customWidth="1"/>
    <col min="5" max="5" width="17.44140625" customWidth="1"/>
    <col min="6" max="6" width="12.21875" customWidth="1"/>
    <col min="8" max="8" width="11.44140625" customWidth="1"/>
    <col min="9" max="9" width="8.6640625" bestFit="1" customWidth="1"/>
  </cols>
  <sheetData>
    <row r="1" spans="1:10" ht="24" customHeight="1" thickBot="1">
      <c r="A1" s="21" t="s">
        <v>37</v>
      </c>
      <c r="B1" s="22" t="s">
        <v>38</v>
      </c>
      <c r="C1" s="22" t="s">
        <v>39</v>
      </c>
      <c r="D1" s="22" t="s">
        <v>40</v>
      </c>
      <c r="E1" s="22" t="s">
        <v>41</v>
      </c>
      <c r="F1" s="28" t="s">
        <v>69</v>
      </c>
      <c r="G1" s="29"/>
      <c r="H1" s="29" t="s">
        <v>70</v>
      </c>
      <c r="I1" s="29"/>
      <c r="J1" s="29"/>
    </row>
    <row r="2" spans="1:10" ht="29.4" thickBot="1">
      <c r="A2" s="23" t="s">
        <v>42</v>
      </c>
      <c r="B2" s="24" t="s">
        <v>43</v>
      </c>
      <c r="C2" s="24" t="s">
        <v>44</v>
      </c>
      <c r="D2" s="25">
        <v>41954</v>
      </c>
      <c r="E2" s="27">
        <v>43831</v>
      </c>
      <c r="F2" s="29" t="str">
        <f t="shared" ref="F2:F13" si="0">VLOOKUP(D2,employee_type,2,1)</f>
        <v>Grade5</v>
      </c>
      <c r="G2" s="29"/>
      <c r="H2" s="29" t="s">
        <v>40</v>
      </c>
      <c r="I2" s="29" t="s">
        <v>72</v>
      </c>
      <c r="J2" s="29"/>
    </row>
    <row r="3" spans="1:10" ht="29.4" thickBot="1">
      <c r="A3" s="23" t="s">
        <v>45</v>
      </c>
      <c r="B3" s="24" t="s">
        <v>46</v>
      </c>
      <c r="C3" s="24" t="s">
        <v>47</v>
      </c>
      <c r="D3" s="25">
        <v>49855</v>
      </c>
      <c r="E3" s="27">
        <v>43862</v>
      </c>
      <c r="F3" s="29" t="str">
        <f t="shared" si="0"/>
        <v>Grade4</v>
      </c>
      <c r="G3" s="29"/>
      <c r="H3" s="32">
        <v>15000</v>
      </c>
      <c r="I3" s="29" t="s">
        <v>74</v>
      </c>
      <c r="J3" s="29"/>
    </row>
    <row r="4" spans="1:10" ht="29.4" thickBot="1">
      <c r="A4" s="23" t="s">
        <v>48</v>
      </c>
      <c r="B4" s="24" t="s">
        <v>49</v>
      </c>
      <c r="C4" s="24" t="s">
        <v>50</v>
      </c>
      <c r="D4" s="25">
        <v>94210</v>
      </c>
      <c r="E4" s="27">
        <v>43891</v>
      </c>
      <c r="F4" s="29" t="str">
        <f t="shared" si="0"/>
        <v>Grade1</v>
      </c>
      <c r="G4" s="29"/>
      <c r="H4" s="32">
        <v>30000</v>
      </c>
      <c r="I4" s="29" t="s">
        <v>71</v>
      </c>
      <c r="J4" s="29"/>
    </row>
    <row r="5" spans="1:10" ht="29.4" thickBot="1">
      <c r="A5" s="23" t="s">
        <v>51</v>
      </c>
      <c r="B5" s="24" t="s">
        <v>52</v>
      </c>
      <c r="C5" s="24" t="s">
        <v>44</v>
      </c>
      <c r="D5" s="25">
        <v>74689</v>
      </c>
      <c r="E5" s="27">
        <v>43922</v>
      </c>
      <c r="F5" s="29" t="str">
        <f t="shared" si="0"/>
        <v>Grade3</v>
      </c>
      <c r="G5" s="29"/>
      <c r="H5" s="32">
        <v>45000</v>
      </c>
      <c r="I5" s="29" t="s">
        <v>73</v>
      </c>
      <c r="J5" s="29"/>
    </row>
    <row r="6" spans="1:10" ht="29.4" thickBot="1">
      <c r="A6" s="23" t="s">
        <v>53</v>
      </c>
      <c r="B6" s="24" t="s">
        <v>54</v>
      </c>
      <c r="C6" s="24" t="s">
        <v>47</v>
      </c>
      <c r="D6" s="25">
        <v>90652</v>
      </c>
      <c r="E6" s="27">
        <v>43952</v>
      </c>
      <c r="F6" s="29" t="str">
        <f t="shared" si="0"/>
        <v>Grade1</v>
      </c>
      <c r="G6" s="29"/>
      <c r="H6" s="32">
        <v>60000</v>
      </c>
      <c r="I6" s="29" t="s">
        <v>76</v>
      </c>
      <c r="J6" s="29"/>
    </row>
    <row r="7" spans="1:10" ht="29.4" thickBot="1">
      <c r="A7" s="23" t="s">
        <v>55</v>
      </c>
      <c r="B7" s="24" t="s">
        <v>49</v>
      </c>
      <c r="C7" s="24" t="s">
        <v>47</v>
      </c>
      <c r="D7" s="25">
        <v>74820</v>
      </c>
      <c r="E7" s="27">
        <v>43983</v>
      </c>
      <c r="F7" s="29" t="str">
        <f t="shared" si="0"/>
        <v>Grade3</v>
      </c>
      <c r="G7" s="29"/>
      <c r="H7" s="32">
        <v>75000</v>
      </c>
      <c r="I7" s="29" t="s">
        <v>77</v>
      </c>
      <c r="J7" s="29"/>
    </row>
    <row r="8" spans="1:10" ht="29.4" thickBot="1">
      <c r="A8" s="23" t="s">
        <v>56</v>
      </c>
      <c r="B8" s="24" t="s">
        <v>57</v>
      </c>
      <c r="C8" s="24" t="s">
        <v>50</v>
      </c>
      <c r="D8" s="25">
        <v>85206</v>
      </c>
      <c r="E8" s="27">
        <v>44013</v>
      </c>
      <c r="F8" s="29" t="str">
        <f t="shared" si="0"/>
        <v>Grade2</v>
      </c>
      <c r="G8" s="29"/>
      <c r="H8" s="32">
        <v>90000</v>
      </c>
      <c r="I8" s="29" t="s">
        <v>75</v>
      </c>
      <c r="J8" s="29"/>
    </row>
    <row r="9" spans="1:10" ht="29.4" thickBot="1">
      <c r="A9" s="23" t="s">
        <v>58</v>
      </c>
      <c r="B9" s="24" t="s">
        <v>59</v>
      </c>
      <c r="C9" s="24" t="s">
        <v>44</v>
      </c>
      <c r="D9" s="25">
        <v>30924</v>
      </c>
      <c r="E9" s="27">
        <v>44044</v>
      </c>
      <c r="F9" s="29" t="str">
        <f t="shared" si="0"/>
        <v>Grade5</v>
      </c>
      <c r="G9" s="29"/>
      <c r="H9" s="29"/>
      <c r="I9" s="29"/>
      <c r="J9" s="29"/>
    </row>
    <row r="10" spans="1:10" ht="29.4" thickBot="1">
      <c r="A10" s="23" t="s">
        <v>60</v>
      </c>
      <c r="B10" s="24" t="s">
        <v>61</v>
      </c>
      <c r="C10" s="24" t="s">
        <v>47</v>
      </c>
      <c r="D10" s="25">
        <v>57737</v>
      </c>
      <c r="E10" s="27">
        <v>44075</v>
      </c>
      <c r="F10" s="29" t="str">
        <f t="shared" si="0"/>
        <v>Grade4</v>
      </c>
      <c r="G10" s="29"/>
      <c r="H10" s="29"/>
      <c r="I10" s="29"/>
      <c r="J10" s="29"/>
    </row>
    <row r="11" spans="1:10" ht="29.4" thickBot="1">
      <c r="A11" s="23" t="s">
        <v>62</v>
      </c>
      <c r="B11" s="24" t="s">
        <v>63</v>
      </c>
      <c r="C11" s="24" t="s">
        <v>50</v>
      </c>
      <c r="D11" s="25">
        <v>36000</v>
      </c>
      <c r="E11" s="27">
        <v>44105</v>
      </c>
      <c r="F11" s="29" t="str">
        <f t="shared" si="0"/>
        <v>Grade5</v>
      </c>
      <c r="G11" s="29"/>
      <c r="H11" s="29"/>
      <c r="I11" s="29"/>
      <c r="J11" s="29"/>
    </row>
    <row r="12" spans="1:10" ht="29.4" thickBot="1">
      <c r="A12" s="23" t="s">
        <v>64</v>
      </c>
      <c r="B12" s="24" t="s">
        <v>65</v>
      </c>
      <c r="C12" s="24" t="s">
        <v>50</v>
      </c>
      <c r="D12" s="25">
        <v>96371</v>
      </c>
      <c r="E12" s="27">
        <v>44136</v>
      </c>
      <c r="F12" s="29" t="str">
        <f t="shared" si="0"/>
        <v>Grade1</v>
      </c>
      <c r="G12" s="29"/>
      <c r="H12" s="29"/>
      <c r="I12" s="29"/>
      <c r="J12" s="29"/>
    </row>
    <row r="13" spans="1:10" ht="29.4" thickBot="1">
      <c r="A13" s="23" t="s">
        <v>66</v>
      </c>
      <c r="B13" s="24" t="s">
        <v>67</v>
      </c>
      <c r="C13" s="24" t="s">
        <v>47</v>
      </c>
      <c r="D13" s="25">
        <v>85028</v>
      </c>
      <c r="E13" s="27">
        <v>44166</v>
      </c>
      <c r="F13" s="29" t="str">
        <f t="shared" si="0"/>
        <v>Grade2</v>
      </c>
      <c r="G13" s="29"/>
      <c r="H13" s="29"/>
      <c r="I13" s="29"/>
      <c r="J13" s="29"/>
    </row>
    <row r="14" spans="1:10" ht="15" thickBot="1">
      <c r="A14" s="29"/>
      <c r="B14" s="29"/>
      <c r="C14" s="29"/>
      <c r="D14" s="29"/>
      <c r="E14" s="29"/>
      <c r="F14" s="29"/>
      <c r="G14" s="29"/>
      <c r="H14" s="29"/>
      <c r="I14" s="29"/>
      <c r="J14" s="29"/>
    </row>
  </sheetData>
  <sortState xmlns:xlrd2="http://schemas.microsoft.com/office/spreadsheetml/2017/richdata2" ref="H3:I8">
    <sortCondition ref="H3:H8"/>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2063AD-3D96-413B-B86D-6AAD9D9AF8CF}">
  <sheetPr codeName="Sheet5"/>
  <dimension ref="A1:J15"/>
  <sheetViews>
    <sheetView workbookViewId="0">
      <pane ySplit="1" topLeftCell="A2" activePane="bottomLeft" state="frozen"/>
      <selection pane="bottomLeft" activeCell="I4" sqref="I4"/>
    </sheetView>
  </sheetViews>
  <sheetFormatPr defaultRowHeight="14.4"/>
  <cols>
    <col min="1" max="1" width="14.44140625" customWidth="1"/>
    <col min="2" max="2" width="14.77734375" customWidth="1"/>
    <col min="3" max="3" width="14.6640625" customWidth="1"/>
    <col min="4" max="4" width="13.5546875" customWidth="1"/>
    <col min="5" max="5" width="14.33203125" customWidth="1"/>
    <col min="8" max="8" width="13.5546875" customWidth="1"/>
    <col min="9" max="9" width="13.109375" customWidth="1"/>
  </cols>
  <sheetData>
    <row r="1" spans="1:10" ht="15" thickBot="1">
      <c r="A1" s="21" t="s">
        <v>37</v>
      </c>
      <c r="B1" s="22" t="s">
        <v>38</v>
      </c>
      <c r="C1" s="22" t="s">
        <v>39</v>
      </c>
      <c r="D1" s="22" t="s">
        <v>40</v>
      </c>
      <c r="E1" s="22" t="s">
        <v>41</v>
      </c>
      <c r="F1" s="29"/>
      <c r="G1" s="29"/>
      <c r="H1" s="29"/>
      <c r="I1" s="29"/>
      <c r="J1" s="29"/>
    </row>
    <row r="2" spans="1:10" ht="15" thickBot="1">
      <c r="A2" s="23" t="s">
        <v>42</v>
      </c>
      <c r="B2" s="24" t="s">
        <v>43</v>
      </c>
      <c r="C2" s="24" t="s">
        <v>44</v>
      </c>
      <c r="D2" s="25">
        <v>41954</v>
      </c>
      <c r="E2" s="27">
        <v>43831</v>
      </c>
      <c r="F2" s="29"/>
      <c r="G2" s="29"/>
      <c r="H2" s="33"/>
      <c r="I2" s="29"/>
      <c r="J2" s="29"/>
    </row>
    <row r="3" spans="1:10" ht="15" thickBot="1">
      <c r="A3" s="23" t="s">
        <v>45</v>
      </c>
      <c r="B3" s="24" t="s">
        <v>46</v>
      </c>
      <c r="C3" s="24" t="s">
        <v>47</v>
      </c>
      <c r="D3" s="25">
        <v>49855</v>
      </c>
      <c r="E3" s="27">
        <v>43862</v>
      </c>
      <c r="F3" s="29"/>
      <c r="G3" s="34"/>
      <c r="H3" s="35" t="s">
        <v>37</v>
      </c>
      <c r="I3" s="29" t="s">
        <v>42</v>
      </c>
      <c r="J3" s="29"/>
    </row>
    <row r="4" spans="1:10" ht="15" thickBot="1">
      <c r="A4" s="23" t="s">
        <v>48</v>
      </c>
      <c r="B4" s="24" t="s">
        <v>49</v>
      </c>
      <c r="C4" s="24" t="s">
        <v>50</v>
      </c>
      <c r="D4" s="25">
        <v>94210</v>
      </c>
      <c r="E4" s="27">
        <v>43891</v>
      </c>
      <c r="F4" s="29"/>
      <c r="G4" s="34"/>
      <c r="H4" s="35" t="s">
        <v>40</v>
      </c>
      <c r="I4" s="36">
        <f>VLOOKUP($I$3,$A$1:$E$13,MATCH(H4,$A$1:$E$1,0),0)</f>
        <v>41954</v>
      </c>
      <c r="J4" s="29"/>
    </row>
    <row r="5" spans="1:10" ht="15" thickBot="1">
      <c r="A5" s="23" t="s">
        <v>51</v>
      </c>
      <c r="B5" s="24" t="s">
        <v>52</v>
      </c>
      <c r="C5" s="24" t="s">
        <v>44</v>
      </c>
      <c r="D5" s="25">
        <v>74689</v>
      </c>
      <c r="E5" s="27">
        <v>43922</v>
      </c>
      <c r="F5" s="29"/>
      <c r="G5" s="34"/>
      <c r="H5" s="35" t="s">
        <v>39</v>
      </c>
      <c r="I5" s="29" t="str">
        <f>VLOOKUP($I$3,$A$1:$E$13,MATCH(H5,$A$1:$E$1,0),0)</f>
        <v>Finance</v>
      </c>
      <c r="J5" s="29"/>
    </row>
    <row r="6" spans="1:10" ht="15" thickBot="1">
      <c r="A6" s="23" t="s">
        <v>53</v>
      </c>
      <c r="B6" s="24" t="s">
        <v>54</v>
      </c>
      <c r="C6" s="24" t="s">
        <v>47</v>
      </c>
      <c r="D6" s="25">
        <v>90652</v>
      </c>
      <c r="E6" s="27">
        <v>43952</v>
      </c>
      <c r="F6" s="29"/>
      <c r="G6" s="29"/>
      <c r="H6" s="29"/>
      <c r="I6" s="29"/>
      <c r="J6" s="29"/>
    </row>
    <row r="7" spans="1:10" ht="15" thickBot="1">
      <c r="A7" s="23" t="s">
        <v>55</v>
      </c>
      <c r="B7" s="24" t="s">
        <v>49</v>
      </c>
      <c r="C7" s="24" t="s">
        <v>47</v>
      </c>
      <c r="D7" s="25">
        <v>74820</v>
      </c>
      <c r="E7" s="27">
        <v>43983</v>
      </c>
      <c r="F7" s="29"/>
      <c r="G7" s="29"/>
      <c r="H7" s="29"/>
      <c r="I7" s="29"/>
      <c r="J7" s="29"/>
    </row>
    <row r="8" spans="1:10" ht="15" thickBot="1">
      <c r="A8" s="23" t="s">
        <v>56</v>
      </c>
      <c r="B8" s="24" t="s">
        <v>57</v>
      </c>
      <c r="C8" s="24" t="s">
        <v>50</v>
      </c>
      <c r="D8" s="25">
        <v>85206</v>
      </c>
      <c r="E8" s="27">
        <v>44013</v>
      </c>
      <c r="F8" s="29"/>
      <c r="G8" s="32">
        <f>MATCH(H4,A1:E1,0)</f>
        <v>4</v>
      </c>
      <c r="H8" s="29"/>
      <c r="I8" s="29"/>
      <c r="J8" s="29"/>
    </row>
    <row r="9" spans="1:10" ht="15" thickBot="1">
      <c r="A9" s="23" t="s">
        <v>58</v>
      </c>
      <c r="B9" s="24" t="s">
        <v>59</v>
      </c>
      <c r="C9" s="24" t="s">
        <v>44</v>
      </c>
      <c r="D9" s="25">
        <v>30924</v>
      </c>
      <c r="E9" s="27">
        <v>44044</v>
      </c>
      <c r="F9" s="29"/>
      <c r="G9" s="29"/>
      <c r="H9" s="29"/>
      <c r="I9" s="29"/>
      <c r="J9" s="29"/>
    </row>
    <row r="10" spans="1:10" ht="15" thickBot="1">
      <c r="A10" s="23" t="s">
        <v>60</v>
      </c>
      <c r="B10" s="24" t="s">
        <v>61</v>
      </c>
      <c r="C10" s="24" t="s">
        <v>47</v>
      </c>
      <c r="D10" s="25">
        <v>57737</v>
      </c>
      <c r="E10" s="27">
        <v>44075</v>
      </c>
      <c r="F10" s="29"/>
      <c r="G10" s="29"/>
      <c r="H10" s="29"/>
      <c r="I10" s="29"/>
      <c r="J10" s="29"/>
    </row>
    <row r="11" spans="1:10" ht="15" thickBot="1">
      <c r="A11" s="23" t="s">
        <v>62</v>
      </c>
      <c r="B11" s="24" t="s">
        <v>63</v>
      </c>
      <c r="C11" s="24" t="s">
        <v>50</v>
      </c>
      <c r="D11" s="25">
        <v>36000</v>
      </c>
      <c r="E11" s="27">
        <v>44105</v>
      </c>
      <c r="F11" s="29"/>
      <c r="G11" s="29"/>
      <c r="H11" s="29"/>
      <c r="I11" s="29"/>
      <c r="J11" s="29"/>
    </row>
    <row r="12" spans="1:10" ht="15" thickBot="1">
      <c r="A12" s="23" t="s">
        <v>64</v>
      </c>
      <c r="B12" s="24" t="s">
        <v>65</v>
      </c>
      <c r="C12" s="24" t="s">
        <v>50</v>
      </c>
      <c r="D12" s="25">
        <v>96371</v>
      </c>
      <c r="E12" s="27">
        <v>44136</v>
      </c>
      <c r="F12" s="29"/>
      <c r="G12" s="29"/>
      <c r="H12" s="29"/>
      <c r="I12" s="29"/>
      <c r="J12" s="29"/>
    </row>
    <row r="13" spans="1:10" ht="15" thickBot="1">
      <c r="A13" s="23" t="s">
        <v>66</v>
      </c>
      <c r="B13" s="24" t="s">
        <v>67</v>
      </c>
      <c r="C13" s="24" t="s">
        <v>47</v>
      </c>
      <c r="D13" s="25">
        <v>85028</v>
      </c>
      <c r="E13" s="27">
        <v>44166</v>
      </c>
      <c r="F13" s="29"/>
      <c r="G13" s="29"/>
      <c r="H13" s="29"/>
      <c r="I13" s="29"/>
      <c r="J13" s="29"/>
    </row>
    <row r="14" spans="1:10" ht="15" thickBot="1">
      <c r="A14" s="29"/>
      <c r="B14" s="29"/>
      <c r="C14" s="29"/>
      <c r="D14" s="29"/>
      <c r="E14" s="29"/>
      <c r="F14" s="29"/>
      <c r="G14" s="29"/>
      <c r="H14" s="29"/>
      <c r="I14" s="29"/>
      <c r="J14" s="29"/>
    </row>
    <row r="15" spans="1:10" ht="15" thickBot="1">
      <c r="A15" s="29"/>
      <c r="B15" s="29"/>
      <c r="C15" s="29"/>
      <c r="D15" s="29"/>
      <c r="E15" s="29"/>
      <c r="F15" s="29"/>
      <c r="G15" s="29"/>
      <c r="H15" s="29"/>
      <c r="I15" s="29"/>
      <c r="J15" s="29"/>
    </row>
  </sheetData>
  <dataValidations count="2">
    <dataValidation type="list" allowBlank="1" showInputMessage="1" showErrorMessage="1" sqref="I3" xr:uid="{298F7E0C-F17D-4516-A905-31FE549233B9}">
      <formula1>$A$2:$A$13</formula1>
    </dataValidation>
    <dataValidation type="list" allowBlank="1" showInputMessage="1" showErrorMessage="1" sqref="H4:H5" xr:uid="{901798F1-0517-4FB8-A957-3948729B6503}">
      <formula1>$A$1:$E$1</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B4CAE0-ED3C-4A64-B670-1EF324EAE172}">
  <sheetPr codeName="Sheet6"/>
  <dimension ref="A1:K66"/>
  <sheetViews>
    <sheetView zoomScale="85" zoomScaleNormal="85" workbookViewId="0">
      <pane ySplit="1" topLeftCell="A20" activePane="bottomLeft" state="frozen"/>
      <selection pane="bottomLeft" activeCell="O28" sqref="O28"/>
    </sheetView>
  </sheetViews>
  <sheetFormatPr defaultRowHeight="14.4"/>
  <cols>
    <col min="1" max="1" width="17.5546875" customWidth="1"/>
    <col min="2" max="2" width="14.77734375" bestFit="1" customWidth="1"/>
    <col min="3" max="3" width="20.109375" bestFit="1" customWidth="1"/>
    <col min="4" max="4" width="12.109375" customWidth="1"/>
    <col min="5" max="5" width="22.77734375" bestFit="1" customWidth="1"/>
    <col min="6" max="6" width="9.109375" bestFit="1" customWidth="1"/>
    <col min="8" max="8" width="9" bestFit="1" customWidth="1"/>
    <col min="10" max="10" width="9" bestFit="1" customWidth="1"/>
    <col min="11" max="11" width="8.109375" bestFit="1" customWidth="1"/>
  </cols>
  <sheetData>
    <row r="1" spans="1:10" ht="43.8" thickBot="1">
      <c r="A1" s="37" t="s">
        <v>78</v>
      </c>
      <c r="B1" s="38" t="s">
        <v>79</v>
      </c>
      <c r="C1" s="38" t="s">
        <v>80</v>
      </c>
      <c r="D1" s="38" t="s">
        <v>81</v>
      </c>
      <c r="E1" s="38" t="s">
        <v>82</v>
      </c>
      <c r="F1" s="38" t="s">
        <v>83</v>
      </c>
      <c r="G1" s="38" t="s">
        <v>84</v>
      </c>
      <c r="H1" s="38" t="s">
        <v>85</v>
      </c>
      <c r="I1" s="38" t="s">
        <v>86</v>
      </c>
      <c r="J1" s="38" t="s">
        <v>87</v>
      </c>
    </row>
    <row r="2" spans="1:10" ht="43.8" thickBot="1">
      <c r="A2" s="29" t="s">
        <v>88</v>
      </c>
      <c r="B2" s="29" t="s">
        <v>89</v>
      </c>
      <c r="C2" s="29" t="s">
        <v>90</v>
      </c>
      <c r="D2" s="29" t="s">
        <v>91</v>
      </c>
      <c r="E2" s="29" t="s">
        <v>92</v>
      </c>
      <c r="F2" s="29" t="s">
        <v>93</v>
      </c>
      <c r="G2" s="29" t="s">
        <v>94</v>
      </c>
      <c r="H2" s="29" t="s">
        <v>95</v>
      </c>
      <c r="I2" s="29" t="s">
        <v>96</v>
      </c>
      <c r="J2" s="29" t="s">
        <v>89</v>
      </c>
    </row>
    <row r="3" spans="1:10" ht="43.8" thickBot="1">
      <c r="A3" s="29" t="s">
        <v>97</v>
      </c>
      <c r="B3" s="29" t="s">
        <v>98</v>
      </c>
      <c r="C3" s="29" t="s">
        <v>99</v>
      </c>
      <c r="D3" s="29" t="s">
        <v>100</v>
      </c>
      <c r="E3" s="29" t="s">
        <v>101</v>
      </c>
      <c r="F3" s="29" t="s">
        <v>93</v>
      </c>
      <c r="G3" s="29" t="s">
        <v>102</v>
      </c>
      <c r="H3" s="29" t="s">
        <v>103</v>
      </c>
      <c r="I3" s="29" t="s">
        <v>104</v>
      </c>
      <c r="J3" s="29" t="s">
        <v>98</v>
      </c>
    </row>
    <row r="4" spans="1:10" ht="43.8" thickBot="1">
      <c r="A4" s="29" t="s">
        <v>105</v>
      </c>
      <c r="B4" s="29" t="s">
        <v>106</v>
      </c>
      <c r="C4" s="29" t="s">
        <v>107</v>
      </c>
      <c r="D4" s="29" t="s">
        <v>108</v>
      </c>
      <c r="E4" s="29" t="s">
        <v>109</v>
      </c>
      <c r="F4" s="29" t="s">
        <v>93</v>
      </c>
      <c r="G4" s="29" t="s">
        <v>110</v>
      </c>
      <c r="H4" s="29" t="s">
        <v>111</v>
      </c>
      <c r="I4" s="29" t="s">
        <v>112</v>
      </c>
      <c r="J4" s="29" t="s">
        <v>106</v>
      </c>
    </row>
    <row r="5" spans="1:10" ht="43.8" thickBot="1">
      <c r="A5" s="29" t="s">
        <v>113</v>
      </c>
      <c r="B5" s="29" t="s">
        <v>114</v>
      </c>
      <c r="C5" s="29" t="s">
        <v>115</v>
      </c>
      <c r="D5" s="29" t="s">
        <v>116</v>
      </c>
      <c r="E5" s="29" t="s">
        <v>117</v>
      </c>
      <c r="F5" s="29" t="s">
        <v>93</v>
      </c>
      <c r="G5" s="29" t="s">
        <v>118</v>
      </c>
      <c r="H5" s="29" t="s">
        <v>119</v>
      </c>
      <c r="I5" s="29" t="s">
        <v>120</v>
      </c>
      <c r="J5" s="29" t="s">
        <v>114</v>
      </c>
    </row>
    <row r="6" spans="1:10" ht="43.8" thickBot="1">
      <c r="A6" s="29" t="s">
        <v>121</v>
      </c>
      <c r="B6" s="29" t="s">
        <v>122</v>
      </c>
      <c r="C6" s="29" t="s">
        <v>123</v>
      </c>
      <c r="D6" s="29" t="s">
        <v>124</v>
      </c>
      <c r="E6" s="29" t="s">
        <v>125</v>
      </c>
      <c r="F6" s="29" t="s">
        <v>93</v>
      </c>
      <c r="G6" s="29" t="s">
        <v>126</v>
      </c>
      <c r="H6" s="29" t="s">
        <v>127</v>
      </c>
      <c r="I6" s="29" t="s">
        <v>128</v>
      </c>
      <c r="J6" s="29" t="s">
        <v>122</v>
      </c>
    </row>
    <row r="7" spans="1:10" ht="58.2" thickBot="1">
      <c r="A7" s="29" t="s">
        <v>129</v>
      </c>
      <c r="B7" s="29" t="s">
        <v>130</v>
      </c>
      <c r="C7" s="29" t="s">
        <v>131</v>
      </c>
      <c r="D7" s="29" t="s">
        <v>132</v>
      </c>
      <c r="E7" s="29" t="s">
        <v>133</v>
      </c>
      <c r="F7" s="29" t="s">
        <v>93</v>
      </c>
      <c r="G7" s="29" t="s">
        <v>134</v>
      </c>
      <c r="H7" s="29" t="s">
        <v>135</v>
      </c>
      <c r="I7" s="29" t="s">
        <v>136</v>
      </c>
      <c r="J7" s="29" t="s">
        <v>130</v>
      </c>
    </row>
    <row r="8" spans="1:10" ht="29.4" thickBot="1">
      <c r="A8" s="29" t="s">
        <v>137</v>
      </c>
      <c r="B8" s="29" t="s">
        <v>138</v>
      </c>
      <c r="C8" s="29" t="s">
        <v>139</v>
      </c>
      <c r="D8" s="29" t="s">
        <v>140</v>
      </c>
      <c r="E8" s="29" t="s">
        <v>141</v>
      </c>
      <c r="F8" s="29" t="s">
        <v>93</v>
      </c>
      <c r="G8" s="29" t="s">
        <v>142</v>
      </c>
      <c r="H8" s="29" t="s">
        <v>143</v>
      </c>
      <c r="I8" s="29" t="s">
        <v>144</v>
      </c>
      <c r="J8" s="29" t="s">
        <v>138</v>
      </c>
    </row>
    <row r="9" spans="1:10" ht="58.2" thickBot="1">
      <c r="A9" s="29" t="s">
        <v>145</v>
      </c>
      <c r="B9" s="29" t="s">
        <v>146</v>
      </c>
      <c r="C9" s="29" t="s">
        <v>147</v>
      </c>
      <c r="D9" s="29" t="s">
        <v>148</v>
      </c>
      <c r="E9" s="29" t="s">
        <v>149</v>
      </c>
      <c r="F9" s="29" t="s">
        <v>93</v>
      </c>
      <c r="G9" s="29" t="s">
        <v>150</v>
      </c>
      <c r="H9" s="29" t="s">
        <v>151</v>
      </c>
      <c r="I9" s="29" t="s">
        <v>152</v>
      </c>
      <c r="J9" s="29" t="s">
        <v>146</v>
      </c>
    </row>
    <row r="12" spans="1:10" ht="15" thickBot="1"/>
    <row r="13" spans="1:10" ht="31.8" thickBot="1">
      <c r="A13" s="39" t="s">
        <v>78</v>
      </c>
      <c r="B13" s="40" t="s">
        <v>79</v>
      </c>
    </row>
    <row r="14" spans="1:10" ht="82.8" customHeight="1" thickBot="1">
      <c r="A14" s="40" t="s">
        <v>113</v>
      </c>
      <c r="B14" s="41" t="str" cm="1">
        <f t="array" ref="B14">INDEX(A1:J9,B17,B18)</f>
        <v>History (Mr. Brown)</v>
      </c>
    </row>
    <row r="16" spans="1:10" ht="15" thickBot="1"/>
    <row r="17" spans="1:11" ht="15" thickBot="1">
      <c r="A17" s="29" t="s">
        <v>153</v>
      </c>
      <c r="B17" s="42">
        <f>MATCH(A14,A1:A9,0)</f>
        <v>5</v>
      </c>
    </row>
    <row r="18" spans="1:11" ht="15" thickBot="1">
      <c r="A18" s="29" t="s">
        <v>154</v>
      </c>
      <c r="B18" s="42">
        <f>MATCH(B13,A1:J1,0)</f>
        <v>2</v>
      </c>
    </row>
    <row r="22" spans="1:11">
      <c r="A22" t="s">
        <v>160</v>
      </c>
      <c r="D22" t="s">
        <v>161</v>
      </c>
      <c r="E22" t="s">
        <v>162</v>
      </c>
    </row>
    <row r="23" spans="1:11">
      <c r="A23" t="s">
        <v>155</v>
      </c>
      <c r="C23" t="s">
        <v>212</v>
      </c>
      <c r="D23" t="s">
        <v>11</v>
      </c>
      <c r="E23" t="s">
        <v>216</v>
      </c>
    </row>
    <row r="24" spans="1:11">
      <c r="A24" t="s">
        <v>156</v>
      </c>
      <c r="C24" t="s">
        <v>213</v>
      </c>
      <c r="D24" t="s">
        <v>9</v>
      </c>
      <c r="E24" t="s">
        <v>217</v>
      </c>
    </row>
    <row r="25" spans="1:11">
      <c r="A25" t="s">
        <v>157</v>
      </c>
      <c r="C25" t="s">
        <v>214</v>
      </c>
      <c r="D25" t="s">
        <v>10</v>
      </c>
      <c r="E25" t="s">
        <v>218</v>
      </c>
    </row>
    <row r="26" spans="1:11">
      <c r="A26" t="s">
        <v>158</v>
      </c>
      <c r="C26" t="s">
        <v>215</v>
      </c>
      <c r="D26" t="s">
        <v>12</v>
      </c>
      <c r="E26" t="s">
        <v>219</v>
      </c>
    </row>
    <row r="27" spans="1:11">
      <c r="A27" t="s">
        <v>159</v>
      </c>
    </row>
    <row r="29" spans="1:11" ht="15" thickBot="1"/>
    <row r="30" spans="1:11" ht="43.8" thickBot="1">
      <c r="A30" s="43" t="s">
        <v>163</v>
      </c>
      <c r="B30" s="43" t="s">
        <v>164</v>
      </c>
      <c r="C30" s="43" t="s">
        <v>165</v>
      </c>
      <c r="D30" s="43" t="s">
        <v>166</v>
      </c>
      <c r="E30" s="43" t="s">
        <v>167</v>
      </c>
      <c r="F30" s="43" t="s">
        <v>168</v>
      </c>
      <c r="G30" s="43" t="s">
        <v>166</v>
      </c>
      <c r="H30" s="43" t="s">
        <v>169</v>
      </c>
      <c r="I30" s="43" t="s">
        <v>170</v>
      </c>
      <c r="J30" s="43" t="s">
        <v>171</v>
      </c>
      <c r="K30" s="43" t="s">
        <v>172</v>
      </c>
    </row>
    <row r="31" spans="1:11" ht="29.4" thickBot="1">
      <c r="A31" s="31">
        <v>101</v>
      </c>
      <c r="B31" s="30" t="s">
        <v>173</v>
      </c>
      <c r="C31" s="30" t="s">
        <v>174</v>
      </c>
      <c r="D31" s="31">
        <v>10</v>
      </c>
      <c r="E31" s="30" t="s">
        <v>174</v>
      </c>
      <c r="F31" s="31">
        <v>6</v>
      </c>
      <c r="G31" s="31">
        <v>10</v>
      </c>
      <c r="H31" s="31">
        <v>799</v>
      </c>
      <c r="I31" s="31">
        <v>50</v>
      </c>
      <c r="J31" s="31">
        <v>4.5</v>
      </c>
      <c r="K31" s="30" t="s">
        <v>175</v>
      </c>
    </row>
    <row r="32" spans="1:11" ht="29.4" thickBot="1">
      <c r="A32" s="31">
        <v>102</v>
      </c>
      <c r="B32" s="30" t="s">
        <v>176</v>
      </c>
      <c r="C32" s="30" t="s">
        <v>174</v>
      </c>
      <c r="D32" s="31">
        <v>13</v>
      </c>
      <c r="E32" s="30" t="s">
        <v>174</v>
      </c>
      <c r="F32" s="31">
        <v>6</v>
      </c>
      <c r="G32" s="31">
        <v>13</v>
      </c>
      <c r="H32" s="31">
        <v>999</v>
      </c>
      <c r="I32" s="31">
        <v>30</v>
      </c>
      <c r="J32" s="31">
        <v>4.7</v>
      </c>
      <c r="K32" s="30" t="s">
        <v>177</v>
      </c>
    </row>
    <row r="33" spans="1:11" ht="29.4" thickBot="1">
      <c r="A33" s="31">
        <v>103</v>
      </c>
      <c r="B33" s="30" t="s">
        <v>178</v>
      </c>
      <c r="C33" s="30" t="s">
        <v>179</v>
      </c>
      <c r="D33" s="31">
        <v>13</v>
      </c>
      <c r="E33" s="30" t="s">
        <v>179</v>
      </c>
      <c r="F33" s="31">
        <v>10</v>
      </c>
      <c r="G33" s="31">
        <v>13</v>
      </c>
      <c r="H33" s="31">
        <v>399</v>
      </c>
      <c r="I33" s="31">
        <v>15</v>
      </c>
      <c r="J33" s="31">
        <v>4.5999999999999996</v>
      </c>
      <c r="K33" s="30" t="s">
        <v>180</v>
      </c>
    </row>
    <row r="34" spans="1:11" ht="29.4" thickBot="1">
      <c r="A34" s="31">
        <v>104</v>
      </c>
      <c r="B34" s="30" t="s">
        <v>181</v>
      </c>
      <c r="C34" s="30" t="s">
        <v>182</v>
      </c>
      <c r="D34" s="31">
        <v>12</v>
      </c>
      <c r="E34" s="30" t="s">
        <v>182</v>
      </c>
      <c r="F34" s="31">
        <v>6</v>
      </c>
      <c r="G34" s="31">
        <v>12</v>
      </c>
      <c r="H34" s="31">
        <v>1249</v>
      </c>
      <c r="I34" s="31">
        <v>10</v>
      </c>
      <c r="J34" s="31">
        <v>4.8</v>
      </c>
      <c r="K34" s="30" t="s">
        <v>183</v>
      </c>
    </row>
    <row r="35" spans="1:11" ht="29.4" thickBot="1">
      <c r="A35" s="31">
        <v>101</v>
      </c>
      <c r="B35" s="30" t="s">
        <v>173</v>
      </c>
      <c r="C35" s="30" t="s">
        <v>174</v>
      </c>
      <c r="D35" s="31">
        <v>11</v>
      </c>
      <c r="E35" s="30" t="s">
        <v>174</v>
      </c>
      <c r="F35" s="31">
        <v>6</v>
      </c>
      <c r="G35" s="31">
        <v>11</v>
      </c>
      <c r="H35" s="31">
        <v>799</v>
      </c>
      <c r="I35" s="31">
        <v>50</v>
      </c>
      <c r="J35" s="31">
        <v>4.5</v>
      </c>
      <c r="K35" s="30" t="s">
        <v>175</v>
      </c>
    </row>
    <row r="36" spans="1:11" ht="15" thickBot="1">
      <c r="A36" s="31">
        <v>105</v>
      </c>
      <c r="B36" s="30" t="s">
        <v>184</v>
      </c>
      <c r="C36" s="30" t="s">
        <v>182</v>
      </c>
      <c r="D36" s="31">
        <v>8</v>
      </c>
      <c r="E36" s="30" t="s">
        <v>182</v>
      </c>
      <c r="F36" s="31">
        <v>6</v>
      </c>
      <c r="G36" s="31">
        <v>8</v>
      </c>
      <c r="H36" s="31">
        <v>1349</v>
      </c>
      <c r="I36" s="31">
        <v>8</v>
      </c>
      <c r="J36" s="31">
        <v>4.7</v>
      </c>
      <c r="K36" s="30" t="s">
        <v>185</v>
      </c>
    </row>
    <row r="37" spans="1:11" ht="43.8" thickBot="1">
      <c r="A37" s="31">
        <v>106</v>
      </c>
      <c r="B37" s="30" t="s">
        <v>186</v>
      </c>
      <c r="C37" s="30" t="s">
        <v>179</v>
      </c>
      <c r="D37" s="31">
        <v>12</v>
      </c>
      <c r="E37" s="30" t="s">
        <v>179</v>
      </c>
      <c r="F37" s="31">
        <v>10</v>
      </c>
      <c r="G37" s="31">
        <v>12</v>
      </c>
      <c r="H37" s="31">
        <v>329</v>
      </c>
      <c r="I37" s="31">
        <v>25</v>
      </c>
      <c r="J37" s="31">
        <v>4.4000000000000004</v>
      </c>
      <c r="K37" s="30" t="s">
        <v>180</v>
      </c>
    </row>
    <row r="38" spans="1:11" ht="29.4" thickBot="1">
      <c r="A38" s="31">
        <v>107</v>
      </c>
      <c r="B38" s="30" t="s">
        <v>178</v>
      </c>
      <c r="C38" s="30" t="s">
        <v>179</v>
      </c>
      <c r="D38" s="31">
        <v>18</v>
      </c>
      <c r="E38" s="30" t="s">
        <v>179</v>
      </c>
      <c r="F38" s="31">
        <v>10</v>
      </c>
      <c r="G38" s="31">
        <v>18</v>
      </c>
      <c r="H38" s="31">
        <v>399</v>
      </c>
      <c r="I38" s="31">
        <v>15</v>
      </c>
      <c r="J38" s="31">
        <v>4.5999999999999996</v>
      </c>
      <c r="K38" s="30" t="s">
        <v>180</v>
      </c>
    </row>
    <row r="39" spans="1:11" ht="29.4" thickBot="1">
      <c r="A39" s="31">
        <v>108</v>
      </c>
      <c r="B39" s="30" t="s">
        <v>187</v>
      </c>
      <c r="C39" s="30" t="s">
        <v>182</v>
      </c>
      <c r="D39" s="31">
        <v>8</v>
      </c>
      <c r="E39" s="30" t="s">
        <v>182</v>
      </c>
      <c r="F39" s="31">
        <v>6</v>
      </c>
      <c r="G39" s="31">
        <v>8</v>
      </c>
      <c r="H39" s="31">
        <v>1299</v>
      </c>
      <c r="I39" s="31">
        <v>6</v>
      </c>
      <c r="J39" s="31">
        <v>4.8</v>
      </c>
      <c r="K39" s="30" t="s">
        <v>183</v>
      </c>
    </row>
    <row r="43" spans="1:11" ht="15" thickBot="1"/>
    <row r="44" spans="1:11" ht="15" thickBot="1">
      <c r="A44" s="44" t="s">
        <v>188</v>
      </c>
      <c r="B44" t="s">
        <v>166</v>
      </c>
      <c r="C44" t="s">
        <v>210</v>
      </c>
      <c r="D44" t="s">
        <v>211</v>
      </c>
    </row>
    <row r="45" spans="1:11" ht="28.2" thickBot="1">
      <c r="A45" s="45" t="s">
        <v>189</v>
      </c>
      <c r="B45">
        <v>19</v>
      </c>
      <c r="C45" t="s">
        <v>189</v>
      </c>
      <c r="D45">
        <v>19</v>
      </c>
    </row>
    <row r="46" spans="1:11" ht="28.2" thickBot="1">
      <c r="A46" s="45" t="s">
        <v>190</v>
      </c>
      <c r="B46">
        <v>19</v>
      </c>
      <c r="C46" t="s">
        <v>190</v>
      </c>
      <c r="D46">
        <v>19</v>
      </c>
    </row>
    <row r="47" spans="1:11" ht="28.2" thickBot="1">
      <c r="A47" s="45" t="s">
        <v>191</v>
      </c>
      <c r="B47">
        <v>19</v>
      </c>
      <c r="C47" t="s">
        <v>191</v>
      </c>
      <c r="D47">
        <v>19</v>
      </c>
    </row>
    <row r="48" spans="1:11" ht="28.2" thickBot="1">
      <c r="A48" s="45" t="s">
        <v>192</v>
      </c>
      <c r="B48">
        <v>19</v>
      </c>
      <c r="C48" t="s">
        <v>192</v>
      </c>
      <c r="D48">
        <v>19</v>
      </c>
    </row>
    <row r="49" spans="1:4" ht="28.2" thickBot="1">
      <c r="A49" s="45" t="s">
        <v>193</v>
      </c>
      <c r="B49">
        <v>19</v>
      </c>
      <c r="C49" t="s">
        <v>193</v>
      </c>
      <c r="D49">
        <v>19</v>
      </c>
    </row>
    <row r="50" spans="1:4" ht="28.2" thickBot="1">
      <c r="A50" s="45" t="s">
        <v>194</v>
      </c>
      <c r="B50">
        <v>19</v>
      </c>
      <c r="C50" t="s">
        <v>194</v>
      </c>
      <c r="D50">
        <v>19</v>
      </c>
    </row>
    <row r="51" spans="1:4" ht="28.2" thickBot="1">
      <c r="A51" s="45" t="s">
        <v>195</v>
      </c>
      <c r="B51">
        <v>19</v>
      </c>
      <c r="C51" t="s">
        <v>195</v>
      </c>
      <c r="D51">
        <v>19</v>
      </c>
    </row>
    <row r="52" spans="1:4" ht="28.2" thickBot="1">
      <c r="A52" s="45" t="s">
        <v>196</v>
      </c>
      <c r="B52">
        <v>19</v>
      </c>
      <c r="C52" t="s">
        <v>196</v>
      </c>
      <c r="D52">
        <v>19</v>
      </c>
    </row>
    <row r="53" spans="1:4" ht="28.2" thickBot="1">
      <c r="A53" s="45" t="s">
        <v>197</v>
      </c>
      <c r="B53">
        <v>19</v>
      </c>
      <c r="C53" t="s">
        <v>197</v>
      </c>
      <c r="D53">
        <v>19</v>
      </c>
    </row>
    <row r="54" spans="1:4" ht="28.2" thickBot="1">
      <c r="A54" s="45" t="s">
        <v>198</v>
      </c>
      <c r="B54">
        <v>19</v>
      </c>
      <c r="C54" t="s">
        <v>198</v>
      </c>
      <c r="D54">
        <v>19</v>
      </c>
    </row>
    <row r="55" spans="1:4" ht="28.2" thickBot="1">
      <c r="A55" s="45" t="s">
        <v>199</v>
      </c>
      <c r="B55">
        <v>19</v>
      </c>
      <c r="C55" t="s">
        <v>199</v>
      </c>
      <c r="D55">
        <v>19</v>
      </c>
    </row>
    <row r="56" spans="1:4" ht="28.2" thickBot="1">
      <c r="A56" s="45" t="s">
        <v>200</v>
      </c>
      <c r="B56">
        <v>19</v>
      </c>
      <c r="C56" t="s">
        <v>200</v>
      </c>
      <c r="D56">
        <v>19</v>
      </c>
    </row>
    <row r="57" spans="1:4" ht="28.2" thickBot="1">
      <c r="A57" s="45" t="s">
        <v>201</v>
      </c>
      <c r="B57">
        <v>19</v>
      </c>
      <c r="C57" t="s">
        <v>201</v>
      </c>
      <c r="D57">
        <v>19</v>
      </c>
    </row>
    <row r="58" spans="1:4" ht="28.2" thickBot="1">
      <c r="A58" s="45" t="s">
        <v>202</v>
      </c>
      <c r="B58">
        <v>19</v>
      </c>
      <c r="C58" t="s">
        <v>202</v>
      </c>
      <c r="D58">
        <v>19</v>
      </c>
    </row>
    <row r="59" spans="1:4" ht="28.2" thickBot="1">
      <c r="A59" s="45" t="s">
        <v>203</v>
      </c>
      <c r="B59">
        <v>19</v>
      </c>
      <c r="C59" t="s">
        <v>203</v>
      </c>
      <c r="D59">
        <v>19</v>
      </c>
    </row>
    <row r="60" spans="1:4" ht="28.2" thickBot="1">
      <c r="A60" s="45" t="s">
        <v>204</v>
      </c>
      <c r="B60">
        <v>19</v>
      </c>
      <c r="C60" t="s">
        <v>204</v>
      </c>
      <c r="D60">
        <v>19</v>
      </c>
    </row>
    <row r="61" spans="1:4" ht="28.2" thickBot="1">
      <c r="A61" s="45" t="s">
        <v>205</v>
      </c>
      <c r="B61">
        <v>19</v>
      </c>
      <c r="C61" t="s">
        <v>205</v>
      </c>
      <c r="D61">
        <v>19</v>
      </c>
    </row>
    <row r="62" spans="1:4" ht="28.2" thickBot="1">
      <c r="A62" s="45" t="s">
        <v>206</v>
      </c>
      <c r="B62">
        <v>19</v>
      </c>
      <c r="C62" t="s">
        <v>206</v>
      </c>
      <c r="D62">
        <v>19</v>
      </c>
    </row>
    <row r="63" spans="1:4" ht="28.2" thickBot="1">
      <c r="A63" s="45" t="s">
        <v>207</v>
      </c>
      <c r="B63">
        <v>19</v>
      </c>
      <c r="C63" t="s">
        <v>207</v>
      </c>
      <c r="D63">
        <v>19</v>
      </c>
    </row>
    <row r="64" spans="1:4" ht="28.2" thickBot="1">
      <c r="A64" s="45" t="s">
        <v>208</v>
      </c>
      <c r="B64">
        <v>19</v>
      </c>
      <c r="C64" t="s">
        <v>208</v>
      </c>
      <c r="D64">
        <v>19</v>
      </c>
    </row>
    <row r="65" spans="1:4" ht="28.2" thickBot="1">
      <c r="A65" s="45" t="s">
        <v>209</v>
      </c>
      <c r="B65">
        <v>19</v>
      </c>
      <c r="C65" t="s">
        <v>209</v>
      </c>
      <c r="D65">
        <v>19</v>
      </c>
    </row>
    <row r="66" spans="1:4" ht="15" thickBot="1">
      <c r="A66" s="30"/>
    </row>
  </sheetData>
  <dataValidations count="2">
    <dataValidation type="list" allowBlank="1" showInputMessage="1" showErrorMessage="1" sqref="A14" xr:uid="{F239636E-CDA2-4919-86AD-685A331B6994}">
      <formula1>$A$2:$A$9</formula1>
    </dataValidation>
    <dataValidation type="list" allowBlank="1" showInputMessage="1" showErrorMessage="1" sqref="B13" xr:uid="{682BF0A7-526A-4BE0-AA5D-9D37C68E6698}">
      <formula1>$B$1:$J$1</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810948-4EDA-4609-BC39-98D8F468D90F}">
  <sheetPr codeName="Sheet7"/>
  <dimension ref="A1:AG1001"/>
  <sheetViews>
    <sheetView topLeftCell="N19" workbookViewId="0">
      <selection activeCell="Y19" sqref="Y19"/>
    </sheetView>
  </sheetViews>
  <sheetFormatPr defaultRowHeight="14.4"/>
  <cols>
    <col min="1" max="1" width="15.6640625" customWidth="1"/>
    <col min="2" max="2" width="13" customWidth="1"/>
    <col min="3" max="3" width="15.6640625" customWidth="1"/>
    <col min="4" max="4" width="16" customWidth="1"/>
    <col min="5" max="5" width="14.88671875" customWidth="1"/>
    <col min="6" max="6" width="13.21875" customWidth="1"/>
    <col min="7" max="7" width="14.21875" customWidth="1"/>
    <col min="8" max="8" width="8.109375" bestFit="1" customWidth="1"/>
    <col min="9" max="9" width="8.44140625" bestFit="1" customWidth="1"/>
    <col min="10" max="10" width="8.5546875" bestFit="1" customWidth="1"/>
    <col min="12" max="12" width="13.6640625" customWidth="1"/>
    <col min="13" max="14" width="16.6640625" customWidth="1"/>
    <col min="15" max="15" width="10" bestFit="1" customWidth="1"/>
    <col min="16" max="16" width="10.44140625" customWidth="1"/>
    <col min="17" max="17" width="11.21875" customWidth="1"/>
    <col min="18" max="18" width="14.88671875" customWidth="1"/>
    <col min="19" max="19" width="11.5546875" bestFit="1" customWidth="1"/>
    <col min="21" max="21" width="14.21875" customWidth="1"/>
    <col min="23" max="23" width="15.6640625" customWidth="1"/>
  </cols>
  <sheetData>
    <row r="1" spans="1:26" ht="29.4" thickBot="1">
      <c r="A1" s="46" t="s">
        <v>220</v>
      </c>
      <c r="B1" s="46" t="s">
        <v>221</v>
      </c>
      <c r="C1" s="46" t="s">
        <v>222</v>
      </c>
      <c r="D1" s="46" t="s">
        <v>223</v>
      </c>
      <c r="E1" s="46" t="s">
        <v>1</v>
      </c>
      <c r="F1" s="46" t="s">
        <v>224</v>
      </c>
      <c r="G1" s="46" t="s">
        <v>225</v>
      </c>
      <c r="H1" s="46" t="s">
        <v>226</v>
      </c>
      <c r="I1" s="46" t="s">
        <v>227</v>
      </c>
      <c r="J1" s="46" t="s">
        <v>228</v>
      </c>
      <c r="K1" s="29"/>
      <c r="L1" s="46" t="s">
        <v>223</v>
      </c>
      <c r="M1" s="29"/>
      <c r="N1" s="29"/>
      <c r="O1" s="46" t="s">
        <v>224</v>
      </c>
      <c r="P1" s="29"/>
      <c r="Q1" s="29"/>
      <c r="R1" s="46" t="s">
        <v>1</v>
      </c>
      <c r="S1" s="29"/>
      <c r="T1" s="47" t="s">
        <v>494</v>
      </c>
      <c r="U1" s="46" t="s">
        <v>225</v>
      </c>
      <c r="V1" s="29"/>
      <c r="W1" s="46" t="s">
        <v>222</v>
      </c>
      <c r="X1" s="29"/>
      <c r="Y1" s="29"/>
      <c r="Z1" s="29"/>
    </row>
    <row r="2" spans="1:26" ht="15" thickBot="1">
      <c r="A2" s="32" t="s">
        <v>229</v>
      </c>
      <c r="B2" s="29" t="s">
        <v>230</v>
      </c>
      <c r="C2" s="29" t="s">
        <v>231</v>
      </c>
      <c r="D2" s="29" t="s">
        <v>232</v>
      </c>
      <c r="E2" s="29" t="s">
        <v>6</v>
      </c>
      <c r="F2" s="29" t="s">
        <v>233</v>
      </c>
      <c r="G2" s="29" t="s">
        <v>234</v>
      </c>
      <c r="H2" s="32">
        <v>6</v>
      </c>
      <c r="I2" s="32">
        <v>4016.25</v>
      </c>
      <c r="J2" s="32">
        <v>24097.5</v>
      </c>
      <c r="K2" s="29"/>
      <c r="L2" s="29" t="s">
        <v>232</v>
      </c>
      <c r="M2" s="32">
        <f>COUNTIF(D:D,L2)</f>
        <v>207</v>
      </c>
      <c r="N2" s="29"/>
      <c r="O2" s="29" t="s">
        <v>233</v>
      </c>
      <c r="P2" s="29"/>
      <c r="Q2" s="29"/>
      <c r="R2" s="29" t="s">
        <v>6</v>
      </c>
      <c r="S2" s="29">
        <f>COUNTIF(E:E,R2)</f>
        <v>387</v>
      </c>
      <c r="T2" s="29">
        <f>SUMIF(E:E,R2,H:H)</f>
        <v>4073</v>
      </c>
      <c r="U2" s="29" t="s">
        <v>234</v>
      </c>
      <c r="V2" s="29"/>
      <c r="W2" s="29" t="s">
        <v>231</v>
      </c>
      <c r="X2" s="29">
        <f>_xlfn.MAXIFS(J:J,C:C,W2)</f>
        <v>87316.38</v>
      </c>
      <c r="Y2" s="29"/>
      <c r="Z2" s="29"/>
    </row>
    <row r="3" spans="1:26" ht="15" thickBot="1">
      <c r="A3" s="49">
        <v>44937</v>
      </c>
      <c r="B3" s="29" t="s">
        <v>235</v>
      </c>
      <c r="C3" s="29" t="s">
        <v>236</v>
      </c>
      <c r="D3" s="29" t="s">
        <v>237</v>
      </c>
      <c r="E3" s="29" t="s">
        <v>8</v>
      </c>
      <c r="F3" s="29" t="s">
        <v>238</v>
      </c>
      <c r="G3" s="29" t="s">
        <v>239</v>
      </c>
      <c r="H3" s="32">
        <v>9</v>
      </c>
      <c r="I3" s="32">
        <v>3801.85</v>
      </c>
      <c r="J3" s="32">
        <v>34216.65</v>
      </c>
      <c r="K3" s="29"/>
      <c r="L3" s="29" t="s">
        <v>237</v>
      </c>
      <c r="M3" s="32">
        <f t="shared" ref="M3:M6" si="0">COUNTIF(D:D,L3)</f>
        <v>208</v>
      </c>
      <c r="N3" s="29"/>
      <c r="O3" s="29" t="s">
        <v>238</v>
      </c>
      <c r="P3" s="29"/>
      <c r="Q3" s="29"/>
      <c r="R3" s="29" t="s">
        <v>8</v>
      </c>
      <c r="S3" s="29">
        <f t="shared" ref="S3:S4" si="1">COUNTIF(E:E,R3)</f>
        <v>420</v>
      </c>
      <c r="T3" s="29">
        <f t="shared" ref="T3:T4" si="2">SUMIF(E:E,R3,H:H)</f>
        <v>4434</v>
      </c>
      <c r="U3" s="29" t="s">
        <v>239</v>
      </c>
      <c r="V3" s="29"/>
      <c r="W3" s="29" t="s">
        <v>236</v>
      </c>
      <c r="X3" s="29">
        <f t="shared" ref="X3:X16" si="3">_xlfn.MAXIFS(J:J,C:C,W3)</f>
        <v>95022.8</v>
      </c>
      <c r="Y3" s="29"/>
      <c r="Z3" s="29"/>
    </row>
    <row r="4" spans="1:26" ht="15" thickBot="1">
      <c r="A4" s="49">
        <v>45081</v>
      </c>
      <c r="B4" s="29" t="s">
        <v>240</v>
      </c>
      <c r="C4" s="29" t="s">
        <v>241</v>
      </c>
      <c r="D4" s="29" t="s">
        <v>242</v>
      </c>
      <c r="E4" s="29" t="s">
        <v>8</v>
      </c>
      <c r="F4" s="29" t="s">
        <v>238</v>
      </c>
      <c r="G4" s="29" t="s">
        <v>239</v>
      </c>
      <c r="H4" s="32">
        <v>11</v>
      </c>
      <c r="I4" s="32">
        <v>3594.07</v>
      </c>
      <c r="J4" s="32">
        <v>39534.769999999997</v>
      </c>
      <c r="K4" s="29"/>
      <c r="L4" s="29" t="s">
        <v>242</v>
      </c>
      <c r="M4" s="32">
        <f t="shared" si="0"/>
        <v>212</v>
      </c>
      <c r="N4" s="29"/>
      <c r="O4" s="29" t="s">
        <v>245</v>
      </c>
      <c r="P4" s="29"/>
      <c r="Q4" s="29"/>
      <c r="R4" s="29" t="s">
        <v>5</v>
      </c>
      <c r="S4" s="29">
        <f t="shared" si="1"/>
        <v>193</v>
      </c>
      <c r="T4" s="29">
        <f t="shared" si="2"/>
        <v>2067</v>
      </c>
      <c r="U4" s="29" t="s">
        <v>246</v>
      </c>
      <c r="V4" s="29"/>
      <c r="W4" s="29" t="s">
        <v>241</v>
      </c>
      <c r="X4" s="29">
        <f t="shared" si="3"/>
        <v>82928.160000000003</v>
      </c>
      <c r="Y4" s="29"/>
      <c r="Z4" s="29"/>
    </row>
    <row r="5" spans="1:26" ht="15" thickBot="1">
      <c r="A5" s="32" t="s">
        <v>243</v>
      </c>
      <c r="B5" s="29" t="s">
        <v>235</v>
      </c>
      <c r="C5" s="29" t="s">
        <v>244</v>
      </c>
      <c r="D5" s="29" t="s">
        <v>237</v>
      </c>
      <c r="E5" s="29" t="s">
        <v>8</v>
      </c>
      <c r="F5" s="29" t="s">
        <v>245</v>
      </c>
      <c r="G5" s="29" t="s">
        <v>246</v>
      </c>
      <c r="H5" s="32">
        <v>9</v>
      </c>
      <c r="I5" s="32">
        <v>4487</v>
      </c>
      <c r="J5" s="32">
        <v>40383</v>
      </c>
      <c r="K5" s="29"/>
      <c r="L5" s="29" t="s">
        <v>247</v>
      </c>
      <c r="M5" s="32">
        <f t="shared" si="0"/>
        <v>180</v>
      </c>
      <c r="N5" s="29"/>
      <c r="O5" s="29" t="s">
        <v>250</v>
      </c>
      <c r="P5" s="29"/>
      <c r="Q5" s="29"/>
      <c r="S5" s="29"/>
      <c r="T5" s="29"/>
      <c r="U5" s="29" t="s">
        <v>251</v>
      </c>
      <c r="V5" s="29"/>
      <c r="W5" s="29" t="s">
        <v>244</v>
      </c>
      <c r="X5" s="29">
        <f t="shared" si="3"/>
        <v>87949.2</v>
      </c>
      <c r="Y5" s="29"/>
      <c r="Z5" s="29"/>
    </row>
    <row r="6" spans="1:26" ht="15" thickBot="1">
      <c r="A6" s="49">
        <v>45115</v>
      </c>
      <c r="B6" s="29" t="s">
        <v>248</v>
      </c>
      <c r="C6" s="29" t="s">
        <v>249</v>
      </c>
      <c r="D6" s="29" t="s">
        <v>232</v>
      </c>
      <c r="E6" s="29" t="s">
        <v>6</v>
      </c>
      <c r="F6" s="29" t="s">
        <v>250</v>
      </c>
      <c r="G6" s="29" t="s">
        <v>251</v>
      </c>
      <c r="H6" s="32">
        <v>17</v>
      </c>
      <c r="I6" s="32">
        <v>1240.77</v>
      </c>
      <c r="J6" s="32">
        <v>21093.09</v>
      </c>
      <c r="K6" s="29"/>
      <c r="L6" s="29" t="s">
        <v>252</v>
      </c>
      <c r="M6" s="32">
        <f t="shared" si="0"/>
        <v>193</v>
      </c>
      <c r="N6" s="29"/>
      <c r="O6" s="29" t="s">
        <v>259</v>
      </c>
      <c r="P6" s="29"/>
      <c r="Q6" s="29"/>
      <c r="S6" s="29"/>
      <c r="T6" s="29"/>
      <c r="U6" s="29" t="s">
        <v>256</v>
      </c>
      <c r="V6" s="29"/>
      <c r="W6" s="29" t="s">
        <v>249</v>
      </c>
      <c r="X6" s="29">
        <f t="shared" si="3"/>
        <v>99406.6</v>
      </c>
      <c r="Y6" s="29"/>
      <c r="Z6" s="29"/>
    </row>
    <row r="7" spans="1:26" ht="15" thickBot="1">
      <c r="A7" s="32" t="s">
        <v>253</v>
      </c>
      <c r="B7" s="29" t="s">
        <v>254</v>
      </c>
      <c r="C7" s="29" t="s">
        <v>255</v>
      </c>
      <c r="D7" s="29" t="s">
        <v>237</v>
      </c>
      <c r="E7" s="29" t="s">
        <v>8</v>
      </c>
      <c r="F7" s="29" t="s">
        <v>238</v>
      </c>
      <c r="G7" s="29" t="s">
        <v>256</v>
      </c>
      <c r="H7" s="32">
        <v>7</v>
      </c>
      <c r="I7" s="32">
        <v>4772.29</v>
      </c>
      <c r="J7" s="32">
        <v>33406.03</v>
      </c>
      <c r="K7" s="29"/>
      <c r="M7" s="29"/>
      <c r="N7" s="29"/>
      <c r="P7" s="29"/>
      <c r="Q7" s="29"/>
      <c r="S7" s="29"/>
      <c r="T7" s="29"/>
      <c r="U7" s="29" t="s">
        <v>179</v>
      </c>
      <c r="V7" s="29"/>
      <c r="W7" s="29" t="s">
        <v>255</v>
      </c>
      <c r="X7" s="29">
        <f t="shared" si="3"/>
        <v>94929.32</v>
      </c>
      <c r="Y7" s="29"/>
      <c r="Z7" s="29"/>
    </row>
    <row r="8" spans="1:26" ht="15" thickBot="1">
      <c r="A8" s="49">
        <v>44931</v>
      </c>
      <c r="B8" s="29" t="s">
        <v>257</v>
      </c>
      <c r="C8" s="29" t="s">
        <v>258</v>
      </c>
      <c r="D8" s="29" t="s">
        <v>242</v>
      </c>
      <c r="E8" s="29" t="s">
        <v>8</v>
      </c>
      <c r="F8" s="29" t="s">
        <v>259</v>
      </c>
      <c r="G8" s="29" t="s">
        <v>179</v>
      </c>
      <c r="H8" s="32">
        <v>5</v>
      </c>
      <c r="I8" s="32">
        <v>2196.9899999999998</v>
      </c>
      <c r="J8" s="32">
        <v>10984.95</v>
      </c>
      <c r="K8" s="29"/>
      <c r="L8" s="50" t="s">
        <v>223</v>
      </c>
      <c r="M8" s="29" t="s">
        <v>233</v>
      </c>
      <c r="N8" s="29" t="s">
        <v>238</v>
      </c>
      <c r="O8" s="29" t="s">
        <v>245</v>
      </c>
      <c r="P8" s="29" t="s">
        <v>250</v>
      </c>
      <c r="Q8" s="29" t="s">
        <v>259</v>
      </c>
      <c r="S8" s="29"/>
      <c r="T8" s="29"/>
      <c r="U8" s="29" t="s">
        <v>182</v>
      </c>
      <c r="V8" s="29"/>
      <c r="W8" s="29" t="s">
        <v>258</v>
      </c>
      <c r="X8" s="29">
        <f t="shared" si="3"/>
        <v>87311.6</v>
      </c>
      <c r="Y8" s="29"/>
      <c r="Z8" s="29"/>
    </row>
    <row r="9" spans="1:26" ht="15" thickBot="1">
      <c r="A9" s="32" t="s">
        <v>253</v>
      </c>
      <c r="B9" s="29" t="s">
        <v>260</v>
      </c>
      <c r="C9" s="29" t="s">
        <v>261</v>
      </c>
      <c r="D9" s="29" t="s">
        <v>247</v>
      </c>
      <c r="E9" s="29" t="s">
        <v>6</v>
      </c>
      <c r="F9" s="29" t="s">
        <v>245</v>
      </c>
      <c r="G9" s="29" t="s">
        <v>246</v>
      </c>
      <c r="H9" s="32">
        <v>5</v>
      </c>
      <c r="I9" s="32">
        <v>967.6</v>
      </c>
      <c r="J9" s="32">
        <v>4838</v>
      </c>
      <c r="K9" s="29"/>
      <c r="L9" s="29" t="s">
        <v>232</v>
      </c>
      <c r="M9" s="29">
        <f>COUNTIFS($D:$D,$L9,$F:$F,M$8)</f>
        <v>44</v>
      </c>
      <c r="N9" s="29">
        <f t="shared" ref="N9:Q13" si="4">COUNTIFS($D:$D,$L9,$F:$F,N$8)</f>
        <v>41</v>
      </c>
      <c r="O9" s="29">
        <f t="shared" si="4"/>
        <v>49</v>
      </c>
      <c r="P9" s="29">
        <f t="shared" si="4"/>
        <v>34</v>
      </c>
      <c r="Q9" s="29">
        <f>COUNTIFS($D:$D,$L9,$F:$F,Q$8)</f>
        <v>39</v>
      </c>
      <c r="S9" s="29"/>
      <c r="T9" s="29"/>
      <c r="U9" s="29" t="s">
        <v>266</v>
      </c>
      <c r="V9" s="29"/>
      <c r="W9" s="29" t="s">
        <v>261</v>
      </c>
      <c r="X9" s="29">
        <f t="shared" si="3"/>
        <v>97123.4</v>
      </c>
      <c r="Y9" s="29"/>
      <c r="Z9" s="29"/>
    </row>
    <row r="10" spans="1:26" ht="15" thickBot="1">
      <c r="A10" s="32" t="s">
        <v>262</v>
      </c>
      <c r="B10" s="29" t="s">
        <v>235</v>
      </c>
      <c r="C10" s="29" t="s">
        <v>244</v>
      </c>
      <c r="D10" s="29" t="s">
        <v>237</v>
      </c>
      <c r="E10" s="29" t="s">
        <v>8</v>
      </c>
      <c r="F10" s="29" t="s">
        <v>238</v>
      </c>
      <c r="G10" s="29" t="s">
        <v>239</v>
      </c>
      <c r="H10" s="32">
        <v>18</v>
      </c>
      <c r="I10" s="32">
        <v>3128.59</v>
      </c>
      <c r="J10" s="32">
        <v>56314.62</v>
      </c>
      <c r="K10" s="29"/>
      <c r="L10" s="29" t="s">
        <v>237</v>
      </c>
      <c r="M10" s="29">
        <f t="shared" ref="M10:M13" si="5">COUNTIFS($D:$D,$L10,$F:$F,M$8)</f>
        <v>41</v>
      </c>
      <c r="N10" s="29">
        <f t="shared" si="4"/>
        <v>33</v>
      </c>
      <c r="O10" s="29">
        <f t="shared" si="4"/>
        <v>45</v>
      </c>
      <c r="P10" s="29">
        <f t="shared" si="4"/>
        <v>43</v>
      </c>
      <c r="Q10" s="29">
        <f t="shared" si="4"/>
        <v>46</v>
      </c>
      <c r="S10" s="29"/>
      <c r="T10" s="29"/>
      <c r="U10" s="29" t="s">
        <v>269</v>
      </c>
      <c r="V10" s="29"/>
      <c r="W10" s="29" t="s">
        <v>273</v>
      </c>
      <c r="X10" s="29">
        <f t="shared" si="3"/>
        <v>94230.2</v>
      </c>
      <c r="Y10" s="29"/>
      <c r="Z10" s="29"/>
    </row>
    <row r="11" spans="1:26" ht="15" thickBot="1">
      <c r="A11" s="32" t="s">
        <v>263</v>
      </c>
      <c r="B11" s="29" t="s">
        <v>240</v>
      </c>
      <c r="C11" s="29" t="s">
        <v>255</v>
      </c>
      <c r="D11" s="29" t="s">
        <v>237</v>
      </c>
      <c r="E11" s="29" t="s">
        <v>8</v>
      </c>
      <c r="F11" s="29" t="s">
        <v>233</v>
      </c>
      <c r="G11" s="29" t="s">
        <v>234</v>
      </c>
      <c r="H11" s="32">
        <v>10</v>
      </c>
      <c r="I11" s="32">
        <v>2754.3</v>
      </c>
      <c r="J11" s="32">
        <v>27543</v>
      </c>
      <c r="K11" s="29"/>
      <c r="L11" s="29" t="s">
        <v>242</v>
      </c>
      <c r="M11" s="29">
        <f t="shared" si="5"/>
        <v>42</v>
      </c>
      <c r="N11" s="29">
        <f t="shared" si="4"/>
        <v>46</v>
      </c>
      <c r="O11" s="29">
        <f t="shared" si="4"/>
        <v>42</v>
      </c>
      <c r="P11" s="29">
        <f t="shared" si="4"/>
        <v>42</v>
      </c>
      <c r="Q11" s="29">
        <f t="shared" si="4"/>
        <v>40</v>
      </c>
      <c r="S11" s="29"/>
      <c r="T11" s="29"/>
      <c r="U11" s="29" t="s">
        <v>277</v>
      </c>
      <c r="V11" s="29"/>
      <c r="W11" s="29" t="s">
        <v>274</v>
      </c>
      <c r="X11" s="29">
        <f t="shared" si="3"/>
        <v>79546.16</v>
      </c>
      <c r="Y11" s="29"/>
      <c r="Z11" s="29"/>
    </row>
    <row r="12" spans="1:26" ht="15" thickBot="1">
      <c r="A12" s="32" t="s">
        <v>264</v>
      </c>
      <c r="B12" s="29" t="s">
        <v>235</v>
      </c>
      <c r="C12" s="29" t="s">
        <v>261</v>
      </c>
      <c r="D12" s="29" t="s">
        <v>247</v>
      </c>
      <c r="E12" s="29" t="s">
        <v>6</v>
      </c>
      <c r="F12" s="29" t="s">
        <v>259</v>
      </c>
      <c r="G12" s="29" t="s">
        <v>182</v>
      </c>
      <c r="H12" s="32">
        <v>19</v>
      </c>
      <c r="I12" s="32">
        <v>4896.3100000000004</v>
      </c>
      <c r="J12" s="32">
        <v>93029.89</v>
      </c>
      <c r="K12" s="29"/>
      <c r="L12" s="29" t="s">
        <v>247</v>
      </c>
      <c r="M12" s="29">
        <f t="shared" si="5"/>
        <v>32</v>
      </c>
      <c r="N12" s="29">
        <f t="shared" si="4"/>
        <v>35</v>
      </c>
      <c r="O12" s="29">
        <f t="shared" si="4"/>
        <v>41</v>
      </c>
      <c r="P12" s="29">
        <f t="shared" si="4"/>
        <v>36</v>
      </c>
      <c r="Q12" s="29">
        <f t="shared" si="4"/>
        <v>36</v>
      </c>
      <c r="S12" s="29"/>
      <c r="T12" s="29"/>
      <c r="U12" s="29" t="s">
        <v>284</v>
      </c>
      <c r="V12" s="29"/>
      <c r="W12" s="29" t="s">
        <v>276</v>
      </c>
      <c r="X12" s="29">
        <f t="shared" si="3"/>
        <v>74713.86</v>
      </c>
      <c r="Y12" s="29"/>
      <c r="Z12" s="29"/>
    </row>
    <row r="13" spans="1:26" ht="15" thickBot="1">
      <c r="A13" s="32" t="s">
        <v>265</v>
      </c>
      <c r="B13" s="29" t="s">
        <v>257</v>
      </c>
      <c r="C13" s="29" t="s">
        <v>258</v>
      </c>
      <c r="D13" s="29" t="s">
        <v>242</v>
      </c>
      <c r="E13" s="29" t="s">
        <v>8</v>
      </c>
      <c r="F13" s="29" t="s">
        <v>245</v>
      </c>
      <c r="G13" s="29" t="s">
        <v>266</v>
      </c>
      <c r="H13" s="32">
        <v>19</v>
      </c>
      <c r="I13" s="32">
        <v>4562.0200000000004</v>
      </c>
      <c r="J13" s="32">
        <v>86678.38</v>
      </c>
      <c r="K13" s="29"/>
      <c r="L13" s="29" t="s">
        <v>252</v>
      </c>
      <c r="M13" s="29">
        <f t="shared" si="5"/>
        <v>46</v>
      </c>
      <c r="N13" s="29">
        <f t="shared" si="4"/>
        <v>39</v>
      </c>
      <c r="O13" s="29">
        <f t="shared" si="4"/>
        <v>33</v>
      </c>
      <c r="P13" s="29">
        <f t="shared" si="4"/>
        <v>34</v>
      </c>
      <c r="Q13" s="29">
        <f t="shared" si="4"/>
        <v>41</v>
      </c>
      <c r="S13" s="29"/>
      <c r="T13" s="29"/>
      <c r="U13" s="29" t="s">
        <v>287</v>
      </c>
      <c r="V13" s="29"/>
      <c r="W13" s="29" t="s">
        <v>281</v>
      </c>
      <c r="X13" s="29">
        <f t="shared" si="3"/>
        <v>77219.199999999997</v>
      </c>
      <c r="Y13" s="29"/>
      <c r="Z13" s="29"/>
    </row>
    <row r="14" spans="1:26" ht="15" thickBot="1">
      <c r="A14" s="49">
        <v>45261</v>
      </c>
      <c r="B14" s="29" t="s">
        <v>254</v>
      </c>
      <c r="C14" s="29" t="s">
        <v>249</v>
      </c>
      <c r="D14" s="29" t="s">
        <v>232</v>
      </c>
      <c r="E14" s="29" t="s">
        <v>6</v>
      </c>
      <c r="F14" s="29" t="s">
        <v>238</v>
      </c>
      <c r="G14" s="29" t="s">
        <v>256</v>
      </c>
      <c r="H14" s="32">
        <v>6</v>
      </c>
      <c r="I14" s="32">
        <v>4231.7700000000004</v>
      </c>
      <c r="J14" s="32">
        <v>25390.62</v>
      </c>
      <c r="K14" s="29"/>
      <c r="M14" s="32"/>
      <c r="N14" s="32"/>
      <c r="P14" s="32"/>
      <c r="Q14" s="32"/>
      <c r="S14" s="29"/>
      <c r="T14" s="29"/>
      <c r="U14" s="29" t="s">
        <v>293</v>
      </c>
      <c r="V14" s="29"/>
      <c r="W14" s="29" t="s">
        <v>283</v>
      </c>
      <c r="X14" s="29">
        <f t="shared" si="3"/>
        <v>85758.399999999994</v>
      </c>
      <c r="Y14" s="29"/>
      <c r="Z14" s="29"/>
    </row>
    <row r="15" spans="1:26" ht="15" thickBot="1">
      <c r="A15" s="32" t="s">
        <v>267</v>
      </c>
      <c r="B15" s="29" t="s">
        <v>268</v>
      </c>
      <c r="C15" s="29" t="s">
        <v>261</v>
      </c>
      <c r="D15" s="29" t="s">
        <v>247</v>
      </c>
      <c r="E15" s="29" t="s">
        <v>6</v>
      </c>
      <c r="F15" s="29" t="s">
        <v>245</v>
      </c>
      <c r="G15" s="29" t="s">
        <v>269</v>
      </c>
      <c r="H15" s="32">
        <v>20</v>
      </c>
      <c r="I15" s="32">
        <v>1027.53</v>
      </c>
      <c r="J15" s="32">
        <v>20550.599999999999</v>
      </c>
      <c r="K15" s="29"/>
      <c r="M15" s="29"/>
      <c r="N15" s="29"/>
      <c r="P15" s="29"/>
      <c r="Q15" s="29"/>
      <c r="S15" s="29"/>
      <c r="T15" s="29"/>
      <c r="U15" s="29" t="s">
        <v>295</v>
      </c>
      <c r="V15" s="29"/>
      <c r="W15" s="29" t="s">
        <v>313</v>
      </c>
      <c r="X15" s="29">
        <f t="shared" si="3"/>
        <v>78513</v>
      </c>
      <c r="Y15" s="29"/>
      <c r="Z15" s="29"/>
    </row>
    <row r="16" spans="1:26" ht="15" thickBot="1">
      <c r="A16" s="32" t="s">
        <v>270</v>
      </c>
      <c r="B16" s="29" t="s">
        <v>271</v>
      </c>
      <c r="C16" s="29" t="s">
        <v>231</v>
      </c>
      <c r="D16" s="29" t="s">
        <v>232</v>
      </c>
      <c r="E16" s="29" t="s">
        <v>6</v>
      </c>
      <c r="F16" s="29" t="s">
        <v>245</v>
      </c>
      <c r="G16" s="29" t="s">
        <v>266</v>
      </c>
      <c r="H16" s="32">
        <v>7</v>
      </c>
      <c r="I16" s="32">
        <v>1257.3399999999999</v>
      </c>
      <c r="J16" s="32">
        <v>8801.3799999999992</v>
      </c>
      <c r="K16" s="29"/>
      <c r="N16" s="29"/>
      <c r="P16" s="29"/>
      <c r="Q16" s="29"/>
      <c r="S16" s="29"/>
      <c r="T16" s="29"/>
      <c r="U16" s="29" t="s">
        <v>296</v>
      </c>
      <c r="V16" s="29"/>
      <c r="W16" s="29" t="s">
        <v>316</v>
      </c>
      <c r="X16" s="29">
        <f t="shared" si="3"/>
        <v>69317.13</v>
      </c>
      <c r="Y16" s="29"/>
      <c r="Z16" s="29"/>
    </row>
    <row r="17" spans="1:33" ht="15" thickBot="1">
      <c r="A17" s="32" t="s">
        <v>272</v>
      </c>
      <c r="B17" s="29" t="s">
        <v>257</v>
      </c>
      <c r="C17" s="29" t="s">
        <v>273</v>
      </c>
      <c r="D17" s="29" t="s">
        <v>252</v>
      </c>
      <c r="E17" s="29" t="s">
        <v>5</v>
      </c>
      <c r="F17" s="29" t="s">
        <v>245</v>
      </c>
      <c r="G17" s="29" t="s">
        <v>269</v>
      </c>
      <c r="H17" s="32">
        <v>9</v>
      </c>
      <c r="I17" s="32">
        <v>2634.14</v>
      </c>
      <c r="J17" s="32">
        <v>23707.26</v>
      </c>
      <c r="K17" s="29"/>
      <c r="N17" s="29"/>
      <c r="P17" s="29"/>
      <c r="Q17" s="29"/>
      <c r="R17" s="50" t="s">
        <v>223</v>
      </c>
      <c r="S17" s="29"/>
      <c r="T17" s="29"/>
      <c r="U17" s="29" t="s">
        <v>298</v>
      </c>
      <c r="V17" s="29"/>
      <c r="X17" s="29"/>
      <c r="Y17" s="29"/>
      <c r="Z17" s="29"/>
    </row>
    <row r="18" spans="1:33" ht="15" thickBot="1">
      <c r="A18" s="49">
        <v>44963</v>
      </c>
      <c r="B18" s="29" t="s">
        <v>248</v>
      </c>
      <c r="C18" s="29" t="s">
        <v>274</v>
      </c>
      <c r="D18" s="29" t="s">
        <v>232</v>
      </c>
      <c r="E18" s="29" t="s">
        <v>6</v>
      </c>
      <c r="F18" s="29" t="s">
        <v>233</v>
      </c>
      <c r="G18" s="29" t="s">
        <v>234</v>
      </c>
      <c r="H18" s="32">
        <v>11</v>
      </c>
      <c r="I18" s="32">
        <v>4509.49</v>
      </c>
      <c r="J18" s="32">
        <v>49604.39</v>
      </c>
      <c r="K18" s="29"/>
      <c r="N18" s="29"/>
      <c r="P18" s="29"/>
      <c r="Q18" s="29"/>
      <c r="R18" s="29" t="s">
        <v>232</v>
      </c>
      <c r="S18" s="29">
        <f>AVERAGEIF(D:D,R18,J:J)</f>
        <v>27830.673719806764</v>
      </c>
      <c r="T18" s="29"/>
      <c r="U18" s="29" t="s">
        <v>299</v>
      </c>
      <c r="V18" s="29"/>
      <c r="X18" s="29"/>
      <c r="Y18" s="29"/>
      <c r="Z18" s="29"/>
    </row>
    <row r="19" spans="1:33" ht="15" thickBot="1">
      <c r="A19" s="32" t="s">
        <v>275</v>
      </c>
      <c r="B19" s="29" t="s">
        <v>254</v>
      </c>
      <c r="C19" s="29" t="s">
        <v>276</v>
      </c>
      <c r="D19" s="29" t="s">
        <v>247</v>
      </c>
      <c r="E19" s="29" t="s">
        <v>6</v>
      </c>
      <c r="F19" s="29" t="s">
        <v>250</v>
      </c>
      <c r="G19" s="29" t="s">
        <v>277</v>
      </c>
      <c r="H19" s="32">
        <v>3</v>
      </c>
      <c r="I19" s="32">
        <v>2738.83</v>
      </c>
      <c r="J19" s="32">
        <v>8216.49</v>
      </c>
      <c r="K19" s="29"/>
      <c r="M19" s="46" t="s">
        <v>225</v>
      </c>
      <c r="N19" s="29" t="s">
        <v>6</v>
      </c>
      <c r="O19" s="29" t="s">
        <v>8</v>
      </c>
      <c r="P19" s="29" t="s">
        <v>5</v>
      </c>
      <c r="Q19" s="29"/>
      <c r="R19" s="29" t="s">
        <v>237</v>
      </c>
      <c r="S19" s="29">
        <f t="shared" ref="S19:S22" si="6">AVERAGEIF(D:D,R19,J:J)</f>
        <v>27134.402211538465</v>
      </c>
      <c r="T19" s="29"/>
      <c r="U19" s="29" t="s">
        <v>301</v>
      </c>
      <c r="V19" s="29"/>
      <c r="X19" s="29"/>
      <c r="Y19" s="29"/>
      <c r="Z19" s="29"/>
    </row>
    <row r="20" spans="1:33" ht="15" thickBot="1">
      <c r="A20" s="32" t="s">
        <v>278</v>
      </c>
      <c r="B20" s="29" t="s">
        <v>254</v>
      </c>
      <c r="C20" s="29" t="s">
        <v>231</v>
      </c>
      <c r="D20" s="29" t="s">
        <v>232</v>
      </c>
      <c r="E20" s="29" t="s">
        <v>6</v>
      </c>
      <c r="F20" s="29" t="s">
        <v>245</v>
      </c>
      <c r="G20" s="29" t="s">
        <v>246</v>
      </c>
      <c r="H20" s="32">
        <v>10</v>
      </c>
      <c r="I20" s="32">
        <v>4247.74</v>
      </c>
      <c r="J20" s="32">
        <v>42477.4</v>
      </c>
      <c r="K20" s="29"/>
      <c r="M20" s="29" t="s">
        <v>234</v>
      </c>
      <c r="N20" s="29">
        <f>SUMIFS($H:$H,$G:$G,$M20,$E:$E,N$19)</f>
        <v>195</v>
      </c>
      <c r="O20" s="29">
        <f t="shared" ref="O20:P35" si="7">SUMIFS($H:$H,$G:$G,$M20,$E:$E,O$19)</f>
        <v>126</v>
      </c>
      <c r="P20" s="29">
        <f t="shared" si="7"/>
        <v>122</v>
      </c>
      <c r="Q20" s="29"/>
      <c r="R20" s="29" t="s">
        <v>242</v>
      </c>
      <c r="S20" s="29">
        <f t="shared" si="6"/>
        <v>26483.015047169814</v>
      </c>
      <c r="T20" s="29"/>
      <c r="U20" s="29" t="s">
        <v>303</v>
      </c>
      <c r="V20" s="29"/>
      <c r="X20" s="29"/>
      <c r="Y20" s="29"/>
      <c r="Z20" s="29"/>
    </row>
    <row r="21" spans="1:33" ht="15" thickBot="1">
      <c r="A21" s="32" t="s">
        <v>264</v>
      </c>
      <c r="B21" s="29" t="s">
        <v>240</v>
      </c>
      <c r="C21" s="29" t="s">
        <v>258</v>
      </c>
      <c r="D21" s="29" t="s">
        <v>242</v>
      </c>
      <c r="E21" s="29" t="s">
        <v>8</v>
      </c>
      <c r="F21" s="29" t="s">
        <v>238</v>
      </c>
      <c r="G21" s="29" t="s">
        <v>256</v>
      </c>
      <c r="H21" s="32">
        <v>3</v>
      </c>
      <c r="I21" s="32">
        <v>1133.19</v>
      </c>
      <c r="J21" s="32">
        <v>3399.57</v>
      </c>
      <c r="K21" s="29"/>
      <c r="M21" s="29" t="s">
        <v>239</v>
      </c>
      <c r="N21" s="29">
        <f t="shared" ref="N21:P39" si="8">SUMIFS($H:$H,$G:$G,$M21,$E:$E,N$19)</f>
        <v>299</v>
      </c>
      <c r="O21" s="29">
        <f t="shared" si="7"/>
        <v>227</v>
      </c>
      <c r="P21" s="29">
        <f t="shared" si="7"/>
        <v>100</v>
      </c>
      <c r="Q21" s="29"/>
      <c r="R21" s="29" t="s">
        <v>247</v>
      </c>
      <c r="S21" s="29">
        <f t="shared" si="6"/>
        <v>28533.112000000012</v>
      </c>
      <c r="T21" s="29"/>
      <c r="U21" s="29" t="s">
        <v>304</v>
      </c>
      <c r="V21" s="29"/>
      <c r="X21" s="29"/>
      <c r="Y21" s="29"/>
      <c r="Z21" s="29"/>
    </row>
    <row r="22" spans="1:33" ht="15" thickBot="1">
      <c r="A22" s="32" t="s">
        <v>279</v>
      </c>
      <c r="B22" s="29" t="s">
        <v>280</v>
      </c>
      <c r="C22" s="29" t="s">
        <v>281</v>
      </c>
      <c r="D22" s="29" t="s">
        <v>252</v>
      </c>
      <c r="E22" s="29" t="s">
        <v>5</v>
      </c>
      <c r="F22" s="29" t="s">
        <v>259</v>
      </c>
      <c r="G22" s="29" t="s">
        <v>182</v>
      </c>
      <c r="H22" s="32">
        <v>6</v>
      </c>
      <c r="I22" s="32">
        <v>623.22</v>
      </c>
      <c r="J22" s="32">
        <v>3739.32</v>
      </c>
      <c r="K22" s="29"/>
      <c r="M22" s="29" t="s">
        <v>246</v>
      </c>
      <c r="N22" s="29">
        <f t="shared" si="8"/>
        <v>333</v>
      </c>
      <c r="O22" s="29">
        <f t="shared" si="7"/>
        <v>218</v>
      </c>
      <c r="P22" s="29">
        <f t="shared" si="7"/>
        <v>94</v>
      </c>
      <c r="Q22" s="29"/>
      <c r="R22" s="29" t="s">
        <v>252</v>
      </c>
      <c r="S22" s="29">
        <f t="shared" si="6"/>
        <v>26873.913056994821</v>
      </c>
      <c r="T22" s="29"/>
      <c r="V22" s="29"/>
      <c r="X22" s="29"/>
      <c r="Y22" s="29"/>
      <c r="Z22" s="29"/>
    </row>
    <row r="23" spans="1:33" ht="15" thickBot="1">
      <c r="A23" s="32" t="s">
        <v>282</v>
      </c>
      <c r="B23" s="29" t="s">
        <v>248</v>
      </c>
      <c r="C23" s="29" t="s">
        <v>236</v>
      </c>
      <c r="D23" s="29" t="s">
        <v>237</v>
      </c>
      <c r="E23" s="29" t="s">
        <v>8</v>
      </c>
      <c r="F23" s="29" t="s">
        <v>238</v>
      </c>
      <c r="G23" s="29" t="s">
        <v>239</v>
      </c>
      <c r="H23" s="32">
        <v>18</v>
      </c>
      <c r="I23" s="32">
        <v>698.42</v>
      </c>
      <c r="J23" s="32">
        <v>12571.56</v>
      </c>
      <c r="K23" s="29"/>
      <c r="M23" s="29" t="s">
        <v>251</v>
      </c>
      <c r="N23" s="29">
        <f t="shared" si="8"/>
        <v>212</v>
      </c>
      <c r="O23" s="29">
        <f t="shared" si="7"/>
        <v>170</v>
      </c>
      <c r="P23" s="29">
        <f t="shared" si="7"/>
        <v>82</v>
      </c>
      <c r="Q23" s="29"/>
      <c r="S23" s="29"/>
      <c r="T23" s="29"/>
      <c r="V23" s="29"/>
      <c r="X23" s="29"/>
      <c r="Y23" s="29"/>
      <c r="Z23" s="29"/>
    </row>
    <row r="24" spans="1:33" ht="15" thickBot="1">
      <c r="A24" s="49">
        <v>45089</v>
      </c>
      <c r="B24" s="29" t="s">
        <v>260</v>
      </c>
      <c r="C24" s="29" t="s">
        <v>283</v>
      </c>
      <c r="D24" s="29" t="s">
        <v>242</v>
      </c>
      <c r="E24" s="29" t="s">
        <v>8</v>
      </c>
      <c r="F24" s="29" t="s">
        <v>250</v>
      </c>
      <c r="G24" s="29" t="s">
        <v>284</v>
      </c>
      <c r="H24" s="32">
        <v>19</v>
      </c>
      <c r="I24" s="32">
        <v>2494.11</v>
      </c>
      <c r="J24" s="32">
        <v>47388.09</v>
      </c>
      <c r="K24" s="29"/>
      <c r="M24" s="29" t="s">
        <v>256</v>
      </c>
      <c r="N24" s="29">
        <f t="shared" si="8"/>
        <v>221</v>
      </c>
      <c r="O24" s="29">
        <f t="shared" si="7"/>
        <v>196</v>
      </c>
      <c r="P24" s="29">
        <f t="shared" si="7"/>
        <v>102</v>
      </c>
      <c r="Q24" s="29"/>
      <c r="R24" s="29"/>
      <c r="S24" s="29"/>
      <c r="T24" s="29"/>
      <c r="U24" s="29"/>
      <c r="V24" s="29"/>
      <c r="X24" s="29"/>
      <c r="Y24" s="29"/>
      <c r="Z24" s="29"/>
      <c r="AA24" s="29"/>
      <c r="AB24" s="29"/>
      <c r="AC24" s="29"/>
      <c r="AD24" s="29"/>
      <c r="AE24" s="29"/>
      <c r="AF24" s="29"/>
      <c r="AG24" s="29"/>
    </row>
    <row r="25" spans="1:33" ht="15" thickBot="1">
      <c r="A25" s="32" t="s">
        <v>285</v>
      </c>
      <c r="B25" s="29" t="s">
        <v>257</v>
      </c>
      <c r="C25" s="29" t="s">
        <v>255</v>
      </c>
      <c r="D25" s="29" t="s">
        <v>237</v>
      </c>
      <c r="E25" s="29" t="s">
        <v>8</v>
      </c>
      <c r="F25" s="29" t="s">
        <v>250</v>
      </c>
      <c r="G25" s="29" t="s">
        <v>284</v>
      </c>
      <c r="H25" s="32">
        <v>15</v>
      </c>
      <c r="I25" s="32">
        <v>3368.77</v>
      </c>
      <c r="J25" s="32">
        <v>50531.55</v>
      </c>
      <c r="K25" s="29"/>
      <c r="M25" s="29" t="s">
        <v>179</v>
      </c>
      <c r="N25" s="29">
        <f t="shared" si="8"/>
        <v>136</v>
      </c>
      <c r="O25" s="29">
        <f t="shared" si="7"/>
        <v>289</v>
      </c>
      <c r="P25" s="29">
        <f t="shared" si="7"/>
        <v>113</v>
      </c>
      <c r="Q25" s="29"/>
      <c r="S25" s="29"/>
      <c r="T25" s="29"/>
      <c r="V25" s="29"/>
      <c r="X25" s="29"/>
      <c r="Y25" s="29"/>
      <c r="Z25" s="29"/>
    </row>
    <row r="26" spans="1:33" ht="29.4" thickBot="1">
      <c r="A26" s="32" t="s">
        <v>286</v>
      </c>
      <c r="B26" s="29" t="s">
        <v>240</v>
      </c>
      <c r="C26" s="29" t="s">
        <v>258</v>
      </c>
      <c r="D26" s="29" t="s">
        <v>242</v>
      </c>
      <c r="E26" s="29" t="s">
        <v>8</v>
      </c>
      <c r="F26" s="29" t="s">
        <v>233</v>
      </c>
      <c r="G26" s="29" t="s">
        <v>287</v>
      </c>
      <c r="H26" s="32">
        <v>2</v>
      </c>
      <c r="I26" s="32">
        <v>962.28</v>
      </c>
      <c r="J26" s="32">
        <v>1924.56</v>
      </c>
      <c r="K26" s="29"/>
      <c r="M26" s="29" t="s">
        <v>182</v>
      </c>
      <c r="N26" s="29">
        <f t="shared" si="8"/>
        <v>224</v>
      </c>
      <c r="O26" s="29">
        <f t="shared" si="7"/>
        <v>161</v>
      </c>
      <c r="P26" s="29">
        <f t="shared" si="7"/>
        <v>76</v>
      </c>
      <c r="Q26" s="29"/>
      <c r="R26" s="46" t="s">
        <v>495</v>
      </c>
      <c r="S26" s="29" t="s">
        <v>232</v>
      </c>
      <c r="T26" s="29" t="s">
        <v>237</v>
      </c>
      <c r="U26" s="29" t="s">
        <v>242</v>
      </c>
      <c r="V26" s="29" t="s">
        <v>247</v>
      </c>
      <c r="X26" s="29"/>
      <c r="Y26" s="29"/>
      <c r="Z26" s="29"/>
    </row>
    <row r="27" spans="1:33" ht="15" thickBot="1">
      <c r="A27" s="49">
        <v>44930</v>
      </c>
      <c r="B27" s="29" t="s">
        <v>280</v>
      </c>
      <c r="C27" s="29" t="s">
        <v>274</v>
      </c>
      <c r="D27" s="29" t="s">
        <v>232</v>
      </c>
      <c r="E27" s="29" t="s">
        <v>6</v>
      </c>
      <c r="F27" s="29" t="s">
        <v>245</v>
      </c>
      <c r="G27" s="29" t="s">
        <v>269</v>
      </c>
      <c r="H27" s="32">
        <v>19</v>
      </c>
      <c r="I27" s="32">
        <v>1065.27</v>
      </c>
      <c r="J27" s="32">
        <v>20240.13</v>
      </c>
      <c r="K27" s="29"/>
      <c r="M27" s="29" t="s">
        <v>266</v>
      </c>
      <c r="N27" s="29">
        <f t="shared" si="8"/>
        <v>240</v>
      </c>
      <c r="O27" s="29">
        <f t="shared" si="7"/>
        <v>187</v>
      </c>
      <c r="P27" s="29">
        <f t="shared" si="7"/>
        <v>117</v>
      </c>
      <c r="Q27" s="29"/>
      <c r="R27" s="29" t="s">
        <v>234</v>
      </c>
      <c r="S27" s="29">
        <f>AVERAGEIFS($J:$J,$G:$G,$R27,$D:$D,S$26)</f>
        <v>38662.597000000002</v>
      </c>
      <c r="T27" s="29">
        <f t="shared" ref="T27:V42" si="9">AVERAGEIFS($J:$J,$G:$G,$R27,$D:$D,T$26)</f>
        <v>35085.671428571426</v>
      </c>
      <c r="U27" s="29">
        <f t="shared" si="9"/>
        <v>23067.121111111115</v>
      </c>
      <c r="V27" s="29">
        <f t="shared" si="9"/>
        <v>32837.26</v>
      </c>
      <c r="X27" s="29"/>
      <c r="Y27" s="29"/>
      <c r="Z27" s="29"/>
    </row>
    <row r="28" spans="1:33" ht="15" thickBot="1">
      <c r="A28" s="32" t="s">
        <v>288</v>
      </c>
      <c r="B28" s="29" t="s">
        <v>280</v>
      </c>
      <c r="C28" s="29" t="s">
        <v>261</v>
      </c>
      <c r="D28" s="29" t="s">
        <v>247</v>
      </c>
      <c r="E28" s="29" t="s">
        <v>6</v>
      </c>
      <c r="F28" s="29" t="s">
        <v>250</v>
      </c>
      <c r="G28" s="29" t="s">
        <v>277</v>
      </c>
      <c r="H28" s="32">
        <v>10</v>
      </c>
      <c r="I28" s="32">
        <v>4507.62</v>
      </c>
      <c r="J28" s="32">
        <v>45076.2</v>
      </c>
      <c r="K28" s="29"/>
      <c r="M28" s="29" t="s">
        <v>269</v>
      </c>
      <c r="N28" s="29">
        <f t="shared" si="8"/>
        <v>205</v>
      </c>
      <c r="O28" s="29">
        <f t="shared" si="7"/>
        <v>246</v>
      </c>
      <c r="P28" s="29">
        <f t="shared" si="7"/>
        <v>100</v>
      </c>
      <c r="Q28" s="29"/>
      <c r="R28" s="29" t="s">
        <v>239</v>
      </c>
      <c r="S28" s="29">
        <f t="shared" ref="S28:S37" si="10">AVERAGEIFS($J:$J,$G:$G,$R28,$D:$D,S$26)</f>
        <v>43785.45785714285</v>
      </c>
      <c r="T28" s="29">
        <f t="shared" si="9"/>
        <v>30057.322727272731</v>
      </c>
      <c r="U28" s="29">
        <f t="shared" si="9"/>
        <v>31485.851111111115</v>
      </c>
      <c r="V28" s="29">
        <f t="shared" si="9"/>
        <v>26490.767777777783</v>
      </c>
      <c r="X28" s="29"/>
      <c r="Y28" s="29"/>
      <c r="Z28" s="29"/>
    </row>
    <row r="29" spans="1:33" ht="15" thickBot="1">
      <c r="A29" s="32" t="s">
        <v>289</v>
      </c>
      <c r="B29" s="29" t="s">
        <v>248</v>
      </c>
      <c r="C29" s="29" t="s">
        <v>281</v>
      </c>
      <c r="D29" s="29" t="s">
        <v>252</v>
      </c>
      <c r="E29" s="29" t="s">
        <v>5</v>
      </c>
      <c r="F29" s="29" t="s">
        <v>245</v>
      </c>
      <c r="G29" s="29" t="s">
        <v>266</v>
      </c>
      <c r="H29" s="32">
        <v>4</v>
      </c>
      <c r="I29" s="32">
        <v>4373.75</v>
      </c>
      <c r="J29" s="32">
        <v>17495</v>
      </c>
      <c r="K29" s="29"/>
      <c r="M29" s="29" t="s">
        <v>277</v>
      </c>
      <c r="N29" s="29">
        <f t="shared" si="8"/>
        <v>149</v>
      </c>
      <c r="O29" s="29">
        <f t="shared" si="7"/>
        <v>193</v>
      </c>
      <c r="P29" s="29">
        <f t="shared" si="7"/>
        <v>93</v>
      </c>
      <c r="Q29" s="29"/>
      <c r="R29" s="29" t="s">
        <v>246</v>
      </c>
      <c r="S29" s="29">
        <f t="shared" si="10"/>
        <v>30640.467857142856</v>
      </c>
      <c r="T29" s="29">
        <f t="shared" si="9"/>
        <v>29541.248333333333</v>
      </c>
      <c r="U29" s="29">
        <f t="shared" si="9"/>
        <v>24915.604615384618</v>
      </c>
      <c r="V29" s="29">
        <f t="shared" si="9"/>
        <v>36623.430625000001</v>
      </c>
      <c r="X29" s="29"/>
      <c r="Y29" s="29"/>
      <c r="Z29" s="29"/>
    </row>
    <row r="30" spans="1:33" ht="15" thickBot="1">
      <c r="A30" s="32" t="s">
        <v>290</v>
      </c>
      <c r="B30" s="29" t="s">
        <v>268</v>
      </c>
      <c r="C30" s="29" t="s">
        <v>236</v>
      </c>
      <c r="D30" s="29" t="s">
        <v>237</v>
      </c>
      <c r="E30" s="29" t="s">
        <v>8</v>
      </c>
      <c r="F30" s="29" t="s">
        <v>245</v>
      </c>
      <c r="G30" s="29" t="s">
        <v>266</v>
      </c>
      <c r="H30" s="32">
        <v>4</v>
      </c>
      <c r="I30" s="32">
        <v>791.28</v>
      </c>
      <c r="J30" s="32">
        <v>3165.12</v>
      </c>
      <c r="K30" s="29"/>
      <c r="M30" s="29" t="s">
        <v>284</v>
      </c>
      <c r="N30" s="29">
        <f t="shared" si="8"/>
        <v>166</v>
      </c>
      <c r="O30" s="29">
        <f t="shared" si="7"/>
        <v>286</v>
      </c>
      <c r="P30" s="29">
        <f t="shared" si="7"/>
        <v>141</v>
      </c>
      <c r="Q30" s="29"/>
      <c r="R30" s="29" t="s">
        <v>251</v>
      </c>
      <c r="S30" s="29">
        <f t="shared" si="10"/>
        <v>22604.764999999999</v>
      </c>
      <c r="T30" s="29">
        <f t="shared" si="9"/>
        <v>22387.314545454548</v>
      </c>
      <c r="U30" s="29">
        <f t="shared" si="9"/>
        <v>18460.167142857143</v>
      </c>
      <c r="V30" s="29">
        <f t="shared" si="9"/>
        <v>33434.662499999999</v>
      </c>
      <c r="X30" s="29"/>
      <c r="Y30" s="29"/>
      <c r="Z30" s="29"/>
    </row>
    <row r="31" spans="1:33" ht="15" thickBot="1">
      <c r="A31" s="49">
        <v>45082</v>
      </c>
      <c r="B31" s="29" t="s">
        <v>260</v>
      </c>
      <c r="C31" s="29" t="s">
        <v>258</v>
      </c>
      <c r="D31" s="29" t="s">
        <v>242</v>
      </c>
      <c r="E31" s="29" t="s">
        <v>8</v>
      </c>
      <c r="F31" s="29" t="s">
        <v>250</v>
      </c>
      <c r="G31" s="29" t="s">
        <v>251</v>
      </c>
      <c r="H31" s="32">
        <v>14</v>
      </c>
      <c r="I31" s="32">
        <v>4868.33</v>
      </c>
      <c r="J31" s="32">
        <v>68156.62</v>
      </c>
      <c r="K31" s="29"/>
      <c r="M31" s="29" t="s">
        <v>287</v>
      </c>
      <c r="N31" s="29">
        <f t="shared" si="8"/>
        <v>269</v>
      </c>
      <c r="O31" s="29">
        <f t="shared" si="7"/>
        <v>201</v>
      </c>
      <c r="P31" s="29">
        <f t="shared" si="7"/>
        <v>98</v>
      </c>
      <c r="Q31" s="29"/>
      <c r="R31" s="29" t="s">
        <v>256</v>
      </c>
      <c r="S31" s="29">
        <f t="shared" si="10"/>
        <v>21005.857272727266</v>
      </c>
      <c r="T31" s="29">
        <f t="shared" si="9"/>
        <v>38438.672500000001</v>
      </c>
      <c r="U31" s="29">
        <f t="shared" si="9"/>
        <v>27159.828000000001</v>
      </c>
      <c r="V31" s="29">
        <f t="shared" si="9"/>
        <v>27662.045000000002</v>
      </c>
      <c r="X31" s="29"/>
      <c r="Y31" s="29"/>
      <c r="Z31" s="29"/>
    </row>
    <row r="32" spans="1:33" ht="15" thickBot="1">
      <c r="A32" s="32" t="s">
        <v>272</v>
      </c>
      <c r="B32" s="29" t="s">
        <v>257</v>
      </c>
      <c r="C32" s="29" t="s">
        <v>273</v>
      </c>
      <c r="D32" s="29" t="s">
        <v>252</v>
      </c>
      <c r="E32" s="29" t="s">
        <v>5</v>
      </c>
      <c r="F32" s="29" t="s">
        <v>245</v>
      </c>
      <c r="G32" s="29" t="s">
        <v>269</v>
      </c>
      <c r="H32" s="32">
        <v>12</v>
      </c>
      <c r="I32" s="32">
        <v>1958.77</v>
      </c>
      <c r="J32" s="32">
        <v>23505.24</v>
      </c>
      <c r="K32" s="29"/>
      <c r="M32" s="29" t="s">
        <v>293</v>
      </c>
      <c r="N32" s="29">
        <f t="shared" si="8"/>
        <v>140</v>
      </c>
      <c r="O32" s="29">
        <f t="shared" si="7"/>
        <v>269</v>
      </c>
      <c r="P32" s="29">
        <f t="shared" si="7"/>
        <v>49</v>
      </c>
      <c r="Q32" s="29"/>
      <c r="R32" s="29" t="s">
        <v>179</v>
      </c>
      <c r="S32" s="29">
        <f t="shared" si="10"/>
        <v>20493.717000000001</v>
      </c>
      <c r="T32" s="29">
        <f t="shared" si="9"/>
        <v>30791.050769230766</v>
      </c>
      <c r="U32" s="29">
        <f t="shared" si="9"/>
        <v>19381.846000000001</v>
      </c>
      <c r="V32" s="29">
        <f t="shared" si="9"/>
        <v>24442.227999999996</v>
      </c>
      <c r="X32" s="29"/>
      <c r="Y32" s="29"/>
      <c r="Z32" s="29"/>
    </row>
    <row r="33" spans="1:26" ht="15" thickBot="1">
      <c r="A33" s="32" t="s">
        <v>291</v>
      </c>
      <c r="B33" s="29" t="s">
        <v>240</v>
      </c>
      <c r="C33" s="29" t="s">
        <v>274</v>
      </c>
      <c r="D33" s="29" t="s">
        <v>232</v>
      </c>
      <c r="E33" s="29" t="s">
        <v>6</v>
      </c>
      <c r="F33" s="29" t="s">
        <v>238</v>
      </c>
      <c r="G33" s="29" t="s">
        <v>256</v>
      </c>
      <c r="H33" s="32">
        <v>10</v>
      </c>
      <c r="I33" s="32">
        <v>3690.75</v>
      </c>
      <c r="J33" s="32">
        <v>36907.5</v>
      </c>
      <c r="K33" s="29"/>
      <c r="M33" s="29" t="s">
        <v>295</v>
      </c>
      <c r="N33" s="29">
        <f t="shared" si="8"/>
        <v>124</v>
      </c>
      <c r="O33" s="29">
        <f t="shared" si="7"/>
        <v>309</v>
      </c>
      <c r="P33" s="29">
        <f t="shared" si="7"/>
        <v>79</v>
      </c>
      <c r="Q33" s="29"/>
      <c r="R33" s="29" t="s">
        <v>182</v>
      </c>
      <c r="S33" s="29">
        <f t="shared" si="10"/>
        <v>30650.07</v>
      </c>
      <c r="T33" s="29">
        <f t="shared" si="9"/>
        <v>17166.381818181821</v>
      </c>
      <c r="U33" s="29">
        <f t="shared" si="9"/>
        <v>16054.804545454546</v>
      </c>
      <c r="V33" s="29">
        <f t="shared" si="9"/>
        <v>18891.224285714281</v>
      </c>
      <c r="X33" s="29"/>
      <c r="Y33" s="29"/>
      <c r="Z33" s="29"/>
    </row>
    <row r="34" spans="1:26" ht="15" thickBot="1">
      <c r="A34" s="32" t="s">
        <v>292</v>
      </c>
      <c r="B34" s="29" t="s">
        <v>240</v>
      </c>
      <c r="C34" s="29" t="s">
        <v>261</v>
      </c>
      <c r="D34" s="29" t="s">
        <v>247</v>
      </c>
      <c r="E34" s="29" t="s">
        <v>6</v>
      </c>
      <c r="F34" s="29" t="s">
        <v>238</v>
      </c>
      <c r="G34" s="29" t="s">
        <v>256</v>
      </c>
      <c r="H34" s="32">
        <v>17</v>
      </c>
      <c r="I34" s="32">
        <v>1037.05</v>
      </c>
      <c r="J34" s="32">
        <v>17629.849999999999</v>
      </c>
      <c r="K34" s="29"/>
      <c r="M34" s="29" t="s">
        <v>296</v>
      </c>
      <c r="N34" s="29">
        <f t="shared" si="8"/>
        <v>179</v>
      </c>
      <c r="O34" s="29">
        <f t="shared" si="7"/>
        <v>258</v>
      </c>
      <c r="P34" s="29">
        <f t="shared" si="7"/>
        <v>162</v>
      </c>
      <c r="Q34" s="29"/>
      <c r="R34" s="29" t="s">
        <v>266</v>
      </c>
      <c r="S34" s="29">
        <f t="shared" si="10"/>
        <v>23413.66153846154</v>
      </c>
      <c r="T34" s="29">
        <f t="shared" si="9"/>
        <v>19109.514166666664</v>
      </c>
      <c r="U34" s="29">
        <f t="shared" si="9"/>
        <v>30651.684285714284</v>
      </c>
      <c r="V34" s="29">
        <f t="shared" si="9"/>
        <v>18084.935000000001</v>
      </c>
      <c r="X34" s="29"/>
      <c r="Y34" s="29"/>
      <c r="Z34" s="29"/>
    </row>
    <row r="35" spans="1:26" ht="15" thickBot="1">
      <c r="A35" s="49">
        <v>45231</v>
      </c>
      <c r="B35" s="29" t="s">
        <v>271</v>
      </c>
      <c r="C35" s="29" t="s">
        <v>283</v>
      </c>
      <c r="D35" s="29" t="s">
        <v>242</v>
      </c>
      <c r="E35" s="29" t="s">
        <v>8</v>
      </c>
      <c r="F35" s="29" t="s">
        <v>250</v>
      </c>
      <c r="G35" s="29" t="s">
        <v>293</v>
      </c>
      <c r="H35" s="32">
        <v>17</v>
      </c>
      <c r="I35" s="32">
        <v>2215.5500000000002</v>
      </c>
      <c r="J35" s="32">
        <v>37664.35</v>
      </c>
      <c r="K35" s="29"/>
      <c r="M35" s="29" t="s">
        <v>298</v>
      </c>
      <c r="N35" s="29">
        <f t="shared" si="8"/>
        <v>241</v>
      </c>
      <c r="O35" s="29">
        <f t="shared" si="7"/>
        <v>205</v>
      </c>
      <c r="P35" s="29">
        <f t="shared" si="7"/>
        <v>178</v>
      </c>
      <c r="Q35" s="29"/>
      <c r="R35" s="29" t="s">
        <v>269</v>
      </c>
      <c r="S35" s="29">
        <f t="shared" si="10"/>
        <v>27481.546153846153</v>
      </c>
      <c r="T35" s="29">
        <f t="shared" si="9"/>
        <v>27920.510714285716</v>
      </c>
      <c r="U35" s="29">
        <f t="shared" si="9"/>
        <v>17877.334999999999</v>
      </c>
      <c r="V35" s="29">
        <f t="shared" si="9"/>
        <v>18763.748333333333</v>
      </c>
      <c r="X35" s="29"/>
      <c r="Y35" s="29"/>
      <c r="Z35" s="29"/>
    </row>
    <row r="36" spans="1:26" ht="15" thickBot="1">
      <c r="A36" s="32" t="s">
        <v>294</v>
      </c>
      <c r="B36" s="29" t="s">
        <v>271</v>
      </c>
      <c r="C36" s="29" t="s">
        <v>244</v>
      </c>
      <c r="D36" s="29" t="s">
        <v>237</v>
      </c>
      <c r="E36" s="29" t="s">
        <v>8</v>
      </c>
      <c r="F36" s="29" t="s">
        <v>245</v>
      </c>
      <c r="G36" s="29" t="s">
        <v>295</v>
      </c>
      <c r="H36" s="32">
        <v>19</v>
      </c>
      <c r="I36" s="32">
        <v>1343.6</v>
      </c>
      <c r="J36" s="32">
        <v>25528.400000000001</v>
      </c>
      <c r="K36" s="29"/>
      <c r="M36" s="29" t="s">
        <v>299</v>
      </c>
      <c r="N36" s="29">
        <f t="shared" si="8"/>
        <v>150</v>
      </c>
      <c r="O36" s="29">
        <f t="shared" si="8"/>
        <v>146</v>
      </c>
      <c r="P36" s="29">
        <f t="shared" si="8"/>
        <v>105</v>
      </c>
      <c r="Q36" s="29"/>
      <c r="R36" s="29" t="s">
        <v>277</v>
      </c>
      <c r="S36" s="29">
        <f t="shared" si="10"/>
        <v>38081.866249999999</v>
      </c>
      <c r="T36" s="29">
        <f t="shared" si="9"/>
        <v>23350.72923076923</v>
      </c>
      <c r="U36" s="29">
        <f t="shared" si="9"/>
        <v>19208.84375</v>
      </c>
      <c r="V36" s="29">
        <f t="shared" si="9"/>
        <v>31220.098571428571</v>
      </c>
      <c r="X36" s="29"/>
      <c r="Y36" s="29"/>
      <c r="Z36" s="29"/>
    </row>
    <row r="37" spans="1:26" ht="15" thickBot="1">
      <c r="A37" s="49">
        <v>45204</v>
      </c>
      <c r="B37" s="29" t="s">
        <v>271</v>
      </c>
      <c r="C37" s="29" t="s">
        <v>231</v>
      </c>
      <c r="D37" s="29" t="s">
        <v>232</v>
      </c>
      <c r="E37" s="29" t="s">
        <v>6</v>
      </c>
      <c r="F37" s="29" t="s">
        <v>250</v>
      </c>
      <c r="G37" s="29" t="s">
        <v>251</v>
      </c>
      <c r="H37" s="32">
        <v>8</v>
      </c>
      <c r="I37" s="32">
        <v>4455.43</v>
      </c>
      <c r="J37" s="32">
        <v>35643.440000000002</v>
      </c>
      <c r="K37" s="29"/>
      <c r="M37" s="29" t="s">
        <v>301</v>
      </c>
      <c r="N37" s="29">
        <f t="shared" si="8"/>
        <v>216</v>
      </c>
      <c r="O37" s="29">
        <f t="shared" si="8"/>
        <v>272</v>
      </c>
      <c r="P37" s="29">
        <f t="shared" si="8"/>
        <v>141</v>
      </c>
      <c r="Q37" s="29"/>
      <c r="R37" s="29" t="s">
        <v>284</v>
      </c>
      <c r="S37" s="29">
        <f t="shared" si="10"/>
        <v>13318.489999999998</v>
      </c>
      <c r="T37" s="29">
        <f t="shared" si="9"/>
        <v>40036.877500000002</v>
      </c>
      <c r="U37" s="29">
        <f t="shared" si="9"/>
        <v>31959.315624999999</v>
      </c>
      <c r="V37" s="29">
        <f t="shared" si="9"/>
        <v>29435.414444444443</v>
      </c>
      <c r="X37" s="29"/>
      <c r="Y37" s="29"/>
      <c r="Z37" s="29"/>
    </row>
    <row r="38" spans="1:26" ht="15" thickBot="1">
      <c r="A38" s="32" t="s">
        <v>297</v>
      </c>
      <c r="B38" s="29" t="s">
        <v>260</v>
      </c>
      <c r="C38" s="29" t="s">
        <v>255</v>
      </c>
      <c r="D38" s="29" t="s">
        <v>237</v>
      </c>
      <c r="E38" s="29" t="s">
        <v>8</v>
      </c>
      <c r="F38" s="29" t="s">
        <v>238</v>
      </c>
      <c r="G38" s="29" t="s">
        <v>296</v>
      </c>
      <c r="H38" s="32">
        <v>9</v>
      </c>
      <c r="I38" s="32">
        <v>3892.79</v>
      </c>
      <c r="J38" s="32">
        <v>35035.11</v>
      </c>
      <c r="K38" s="29"/>
      <c r="M38" s="29" t="s">
        <v>303</v>
      </c>
      <c r="N38" s="29">
        <f t="shared" si="8"/>
        <v>188</v>
      </c>
      <c r="O38" s="29">
        <f t="shared" si="8"/>
        <v>212</v>
      </c>
      <c r="P38" s="29">
        <f t="shared" si="8"/>
        <v>42</v>
      </c>
      <c r="Q38" s="29"/>
      <c r="R38" s="29" t="s">
        <v>287</v>
      </c>
      <c r="S38" s="29">
        <f t="shared" ref="S38:T46" si="11">AVERAGEIFS($J:$J,$G:$G,$R38,$D:$D,S$26)</f>
        <v>24333.632142857143</v>
      </c>
      <c r="T38" s="29">
        <f t="shared" si="9"/>
        <v>16080.82</v>
      </c>
      <c r="U38" s="29">
        <f t="shared" si="9"/>
        <v>32533.198666666667</v>
      </c>
      <c r="V38" s="29">
        <f t="shared" si="9"/>
        <v>25486.045000000002</v>
      </c>
      <c r="X38" s="29"/>
      <c r="Y38" s="29"/>
      <c r="Z38" s="29"/>
    </row>
    <row r="39" spans="1:26" ht="15" thickBot="1">
      <c r="A39" s="49">
        <v>45089</v>
      </c>
      <c r="B39" s="29" t="s">
        <v>260</v>
      </c>
      <c r="C39" s="29" t="s">
        <v>281</v>
      </c>
      <c r="D39" s="29" t="s">
        <v>252</v>
      </c>
      <c r="E39" s="29" t="s">
        <v>5</v>
      </c>
      <c r="F39" s="29" t="s">
        <v>259</v>
      </c>
      <c r="G39" s="29" t="s">
        <v>182</v>
      </c>
      <c r="H39" s="32">
        <v>9</v>
      </c>
      <c r="I39" s="32">
        <v>4618.59</v>
      </c>
      <c r="J39" s="32">
        <v>41567.31</v>
      </c>
      <c r="K39" s="29"/>
      <c r="M39" s="29" t="s">
        <v>304</v>
      </c>
      <c r="N39" s="29">
        <f t="shared" si="8"/>
        <v>186</v>
      </c>
      <c r="O39" s="29">
        <f t="shared" si="8"/>
        <v>263</v>
      </c>
      <c r="P39" s="29">
        <f t="shared" si="8"/>
        <v>73</v>
      </c>
      <c r="Q39" s="29"/>
      <c r="R39" s="29" t="s">
        <v>293</v>
      </c>
      <c r="S39" s="29">
        <f t="shared" si="11"/>
        <v>17657.137999999999</v>
      </c>
      <c r="T39" s="29">
        <f t="shared" si="9"/>
        <v>37448.047272727272</v>
      </c>
      <c r="U39" s="29">
        <f t="shared" si="9"/>
        <v>22077.200909090905</v>
      </c>
      <c r="V39" s="29">
        <f t="shared" si="9"/>
        <v>21420.663333333334</v>
      </c>
      <c r="X39" s="29"/>
      <c r="Y39" s="29"/>
      <c r="Z39" s="29"/>
    </row>
    <row r="40" spans="1:26" ht="15" thickBot="1">
      <c r="A40" s="32" t="s">
        <v>300</v>
      </c>
      <c r="B40" s="29" t="s">
        <v>268</v>
      </c>
      <c r="C40" s="29" t="s">
        <v>283</v>
      </c>
      <c r="D40" s="29" t="s">
        <v>242</v>
      </c>
      <c r="E40" s="29" t="s">
        <v>8</v>
      </c>
      <c r="F40" s="29" t="s">
        <v>245</v>
      </c>
      <c r="G40" s="29" t="s">
        <v>295</v>
      </c>
      <c r="H40" s="32">
        <v>11</v>
      </c>
      <c r="I40" s="32">
        <v>3385.93</v>
      </c>
      <c r="J40" s="32">
        <v>37245.230000000003</v>
      </c>
      <c r="K40" s="29"/>
      <c r="N40" s="32"/>
      <c r="P40" s="29"/>
      <c r="Q40" s="29"/>
      <c r="R40" s="29" t="s">
        <v>295</v>
      </c>
      <c r="S40" s="29">
        <f t="shared" si="11"/>
        <v>18048.376666666667</v>
      </c>
      <c r="T40" s="29">
        <f t="shared" si="9"/>
        <v>31840.896153846155</v>
      </c>
      <c r="U40" s="29">
        <f t="shared" si="9"/>
        <v>33361.73333333333</v>
      </c>
      <c r="V40" s="29">
        <f t="shared" si="9"/>
        <v>32038.840000000004</v>
      </c>
      <c r="X40" s="29"/>
      <c r="Y40" s="29"/>
      <c r="Z40" s="29"/>
    </row>
    <row r="41" spans="1:26" ht="15" thickBot="1">
      <c r="A41" s="32" t="s">
        <v>302</v>
      </c>
      <c r="B41" s="29" t="s">
        <v>260</v>
      </c>
      <c r="C41" s="29" t="s">
        <v>261</v>
      </c>
      <c r="D41" s="29" t="s">
        <v>247</v>
      </c>
      <c r="E41" s="29" t="s">
        <v>6</v>
      </c>
      <c r="F41" s="29" t="s">
        <v>238</v>
      </c>
      <c r="G41" s="29" t="s">
        <v>256</v>
      </c>
      <c r="H41" s="32">
        <v>14</v>
      </c>
      <c r="I41" s="32">
        <v>2452.98</v>
      </c>
      <c r="J41" s="32">
        <v>34341.72</v>
      </c>
      <c r="K41" s="29"/>
      <c r="M41" s="32"/>
      <c r="N41" s="32"/>
      <c r="P41" s="29"/>
      <c r="Q41" s="29"/>
      <c r="R41" s="29" t="s">
        <v>296</v>
      </c>
      <c r="S41" s="29">
        <f t="shared" si="11"/>
        <v>37838.783749999995</v>
      </c>
      <c r="T41" s="29">
        <f t="shared" si="9"/>
        <v>28004.417000000005</v>
      </c>
      <c r="U41" s="29">
        <f t="shared" si="9"/>
        <v>39912.095000000001</v>
      </c>
      <c r="V41" s="29">
        <f t="shared" si="9"/>
        <v>26236.234000000004</v>
      </c>
      <c r="X41" s="29"/>
      <c r="Y41" s="29"/>
      <c r="Z41" s="29"/>
    </row>
    <row r="42" spans="1:26" ht="15" thickBot="1">
      <c r="A42" s="49">
        <v>45024</v>
      </c>
      <c r="B42" s="29" t="s">
        <v>230</v>
      </c>
      <c r="C42" s="29" t="s">
        <v>241</v>
      </c>
      <c r="D42" s="29" t="s">
        <v>242</v>
      </c>
      <c r="E42" s="29" t="s">
        <v>8</v>
      </c>
      <c r="F42" s="29" t="s">
        <v>259</v>
      </c>
      <c r="G42" s="29" t="s">
        <v>179</v>
      </c>
      <c r="H42" s="32">
        <v>16</v>
      </c>
      <c r="I42" s="32">
        <v>695.96</v>
      </c>
      <c r="J42" s="32">
        <v>11135.36</v>
      </c>
      <c r="K42" s="29"/>
      <c r="M42" s="32"/>
      <c r="N42" s="32"/>
      <c r="P42" s="29"/>
      <c r="Q42" s="29"/>
      <c r="R42" s="29" t="s">
        <v>298</v>
      </c>
      <c r="S42" s="29">
        <f t="shared" si="11"/>
        <v>27004.650909090913</v>
      </c>
      <c r="T42" s="29">
        <f t="shared" si="9"/>
        <v>20202.60125</v>
      </c>
      <c r="U42" s="29">
        <f t="shared" si="9"/>
        <v>21837.68</v>
      </c>
      <c r="V42" s="29">
        <f t="shared" si="9"/>
        <v>39713.643636363639</v>
      </c>
      <c r="X42" s="29"/>
      <c r="Y42" s="29"/>
      <c r="Z42" s="29"/>
    </row>
    <row r="43" spans="1:26" ht="15" thickBot="1">
      <c r="A43" s="49">
        <v>44929</v>
      </c>
      <c r="B43" s="29" t="s">
        <v>248</v>
      </c>
      <c r="C43" s="29" t="s">
        <v>261</v>
      </c>
      <c r="D43" s="29" t="s">
        <v>247</v>
      </c>
      <c r="E43" s="29" t="s">
        <v>6</v>
      </c>
      <c r="F43" s="29" t="s">
        <v>259</v>
      </c>
      <c r="G43" s="29" t="s">
        <v>298</v>
      </c>
      <c r="H43" s="32">
        <v>1</v>
      </c>
      <c r="I43" s="32">
        <v>1979.54</v>
      </c>
      <c r="J43" s="32">
        <v>1979.54</v>
      </c>
      <c r="K43" s="29"/>
      <c r="M43" s="29"/>
      <c r="N43" s="29"/>
      <c r="P43" s="29"/>
      <c r="Q43" s="29"/>
      <c r="R43" s="29" t="s">
        <v>299</v>
      </c>
      <c r="S43" s="29">
        <f t="shared" si="11"/>
        <v>23835.444444444438</v>
      </c>
      <c r="T43" s="29">
        <f t="shared" si="11"/>
        <v>23809.700714285718</v>
      </c>
      <c r="U43" s="29">
        <f t="shared" ref="U43:U46" si="12">AVERAGEIFS($J:$J,$G:$G,$R43,$D:$D,U$26)</f>
        <v>13271.98</v>
      </c>
      <c r="V43" s="29">
        <f t="shared" ref="V43:V46" si="13">AVERAGEIFS($J:$J,$G:$G,$R43,$D:$D,V$26)</f>
        <v>22217.923333333336</v>
      </c>
      <c r="X43" s="29"/>
      <c r="Y43" s="29"/>
      <c r="Z43" s="29"/>
    </row>
    <row r="44" spans="1:26" ht="15" thickBot="1">
      <c r="A44" s="32" t="s">
        <v>305</v>
      </c>
      <c r="B44" s="29" t="s">
        <v>257</v>
      </c>
      <c r="C44" s="29" t="s">
        <v>281</v>
      </c>
      <c r="D44" s="29" t="s">
        <v>252</v>
      </c>
      <c r="E44" s="29" t="s">
        <v>5</v>
      </c>
      <c r="F44" s="29" t="s">
        <v>238</v>
      </c>
      <c r="G44" s="29" t="s">
        <v>239</v>
      </c>
      <c r="H44" s="32">
        <v>9</v>
      </c>
      <c r="I44" s="32">
        <v>3727.82</v>
      </c>
      <c r="J44" s="32">
        <v>33550.379999999997</v>
      </c>
      <c r="K44" s="29"/>
      <c r="M44" s="29"/>
      <c r="N44" s="29"/>
      <c r="P44" s="29"/>
      <c r="Q44" s="29"/>
      <c r="R44" s="29" t="s">
        <v>301</v>
      </c>
      <c r="S44" s="29">
        <f t="shared" si="11"/>
        <v>30217.910909090904</v>
      </c>
      <c r="T44" s="29">
        <f t="shared" si="11"/>
        <v>22212.576923076922</v>
      </c>
      <c r="U44" s="29">
        <f t="shared" si="12"/>
        <v>35664.82</v>
      </c>
      <c r="V44" s="29">
        <f t="shared" si="13"/>
        <v>38399.10833333333</v>
      </c>
      <c r="X44" s="29"/>
      <c r="Y44" s="29"/>
      <c r="Z44" s="29"/>
    </row>
    <row r="45" spans="1:26" ht="15" thickBot="1">
      <c r="A45" s="32" t="s">
        <v>306</v>
      </c>
      <c r="B45" s="29" t="s">
        <v>230</v>
      </c>
      <c r="C45" s="29" t="s">
        <v>276</v>
      </c>
      <c r="D45" s="29" t="s">
        <v>247</v>
      </c>
      <c r="E45" s="29" t="s">
        <v>6</v>
      </c>
      <c r="F45" s="29" t="s">
        <v>250</v>
      </c>
      <c r="G45" s="29" t="s">
        <v>293</v>
      </c>
      <c r="H45" s="32">
        <v>1</v>
      </c>
      <c r="I45" s="32">
        <v>1495.61</v>
      </c>
      <c r="J45" s="32">
        <v>1495.61</v>
      </c>
      <c r="K45" s="29"/>
      <c r="M45" s="29"/>
      <c r="N45" s="29"/>
      <c r="P45" s="29"/>
      <c r="Q45" s="29"/>
      <c r="R45" s="29" t="s">
        <v>303</v>
      </c>
      <c r="S45" s="29">
        <f t="shared" si="11"/>
        <v>30544.414999999997</v>
      </c>
      <c r="T45" s="29">
        <f t="shared" si="11"/>
        <v>29065.8325</v>
      </c>
      <c r="U45" s="29">
        <f t="shared" si="12"/>
        <v>26651.268000000004</v>
      </c>
      <c r="V45" s="29">
        <f t="shared" si="13"/>
        <v>37593.99</v>
      </c>
      <c r="X45" s="29"/>
      <c r="Y45" s="29"/>
      <c r="Z45" s="29"/>
    </row>
    <row r="46" spans="1:26" ht="15" thickBot="1">
      <c r="A46" s="32" t="s">
        <v>307</v>
      </c>
      <c r="B46" s="29" t="s">
        <v>268</v>
      </c>
      <c r="C46" s="29" t="s">
        <v>249</v>
      </c>
      <c r="D46" s="29" t="s">
        <v>232</v>
      </c>
      <c r="E46" s="29" t="s">
        <v>6</v>
      </c>
      <c r="F46" s="29" t="s">
        <v>245</v>
      </c>
      <c r="G46" s="29" t="s">
        <v>266</v>
      </c>
      <c r="H46" s="32">
        <v>18</v>
      </c>
      <c r="I46" s="32">
        <v>1928.15</v>
      </c>
      <c r="J46" s="32">
        <v>34706.699999999997</v>
      </c>
      <c r="K46" s="29"/>
      <c r="M46" s="29"/>
      <c r="N46" s="29"/>
      <c r="P46" s="29"/>
      <c r="Q46" s="29"/>
      <c r="R46" s="29" t="s">
        <v>304</v>
      </c>
      <c r="S46" s="29">
        <f t="shared" si="11"/>
        <v>31185.264444444445</v>
      </c>
      <c r="T46" s="29">
        <f t="shared" si="11"/>
        <v>29243.803333333333</v>
      </c>
      <c r="U46" s="29">
        <f t="shared" si="12"/>
        <v>28592.913750000003</v>
      </c>
      <c r="V46" s="29">
        <f t="shared" si="13"/>
        <v>42883.333333333336</v>
      </c>
      <c r="X46" s="29"/>
      <c r="Y46" s="29"/>
      <c r="Z46" s="29"/>
    </row>
    <row r="47" spans="1:26" ht="15" thickBot="1">
      <c r="A47" s="49">
        <v>45019</v>
      </c>
      <c r="B47" s="29" t="s">
        <v>254</v>
      </c>
      <c r="C47" s="29" t="s">
        <v>249</v>
      </c>
      <c r="D47" s="29" t="s">
        <v>232</v>
      </c>
      <c r="E47" s="29" t="s">
        <v>6</v>
      </c>
      <c r="F47" s="29" t="s">
        <v>238</v>
      </c>
      <c r="G47" s="29" t="s">
        <v>256</v>
      </c>
      <c r="H47" s="32">
        <v>1</v>
      </c>
      <c r="I47" s="32">
        <v>4192.3900000000003</v>
      </c>
      <c r="J47" s="32">
        <v>4192.3900000000003</v>
      </c>
      <c r="K47" s="29"/>
      <c r="M47" s="29"/>
      <c r="N47" s="29"/>
      <c r="P47" s="29"/>
      <c r="Q47" s="29"/>
      <c r="S47" s="29"/>
      <c r="T47" s="29"/>
      <c r="V47" s="29"/>
      <c r="X47" s="29"/>
      <c r="Y47" s="29"/>
      <c r="Z47" s="29"/>
    </row>
    <row r="48" spans="1:26" ht="15" thickBot="1">
      <c r="A48" s="49">
        <v>45018</v>
      </c>
      <c r="B48" s="29" t="s">
        <v>268</v>
      </c>
      <c r="C48" s="29" t="s">
        <v>255</v>
      </c>
      <c r="D48" s="29" t="s">
        <v>237</v>
      </c>
      <c r="E48" s="29" t="s">
        <v>8</v>
      </c>
      <c r="F48" s="29" t="s">
        <v>259</v>
      </c>
      <c r="G48" s="29" t="s">
        <v>299</v>
      </c>
      <c r="H48" s="32">
        <v>7</v>
      </c>
      <c r="I48" s="32">
        <v>4988.71</v>
      </c>
      <c r="J48" s="32">
        <v>34920.97</v>
      </c>
      <c r="K48" s="29"/>
      <c r="M48" s="29"/>
      <c r="N48" s="29"/>
      <c r="P48" s="29"/>
      <c r="Q48" s="29"/>
      <c r="S48" s="29"/>
      <c r="T48" s="29"/>
      <c r="V48" s="29"/>
      <c r="X48" s="29"/>
      <c r="Y48" s="29"/>
      <c r="Z48" s="29"/>
    </row>
    <row r="49" spans="1:26" ht="15" thickBot="1">
      <c r="A49" s="32" t="s">
        <v>308</v>
      </c>
      <c r="B49" s="29" t="s">
        <v>260</v>
      </c>
      <c r="C49" s="29" t="s">
        <v>283</v>
      </c>
      <c r="D49" s="29" t="s">
        <v>242</v>
      </c>
      <c r="E49" s="29" t="s">
        <v>8</v>
      </c>
      <c r="F49" s="29" t="s">
        <v>245</v>
      </c>
      <c r="G49" s="29" t="s">
        <v>266</v>
      </c>
      <c r="H49" s="32">
        <v>9</v>
      </c>
      <c r="I49" s="32">
        <v>1328.13</v>
      </c>
      <c r="J49" s="32">
        <v>11953.17</v>
      </c>
      <c r="K49" s="29"/>
      <c r="M49" s="29"/>
      <c r="N49" s="29"/>
      <c r="P49" s="29"/>
      <c r="Q49" s="29"/>
      <c r="S49" s="29"/>
      <c r="T49" s="29"/>
      <c r="V49" s="29"/>
      <c r="X49" s="29"/>
      <c r="Y49" s="29"/>
      <c r="Z49" s="29"/>
    </row>
    <row r="50" spans="1:26" ht="15" thickBot="1">
      <c r="A50" s="32" t="s">
        <v>309</v>
      </c>
      <c r="B50" s="29" t="s">
        <v>268</v>
      </c>
      <c r="C50" s="29" t="s">
        <v>274</v>
      </c>
      <c r="D50" s="29" t="s">
        <v>232</v>
      </c>
      <c r="E50" s="29" t="s">
        <v>6</v>
      </c>
      <c r="F50" s="29" t="s">
        <v>233</v>
      </c>
      <c r="G50" s="29" t="s">
        <v>301</v>
      </c>
      <c r="H50" s="32">
        <v>9</v>
      </c>
      <c r="I50" s="32">
        <v>722.44</v>
      </c>
      <c r="J50" s="32">
        <v>6501.96</v>
      </c>
      <c r="K50" s="29"/>
      <c r="M50" s="29"/>
      <c r="N50" s="29"/>
      <c r="P50" s="29"/>
      <c r="Q50" s="29"/>
      <c r="S50" s="29"/>
      <c r="T50" s="29"/>
      <c r="V50" s="29"/>
      <c r="X50" s="29"/>
      <c r="Y50" s="29"/>
      <c r="Z50" s="29"/>
    </row>
    <row r="51" spans="1:26" ht="15" thickBot="1">
      <c r="A51" s="32" t="s">
        <v>310</v>
      </c>
      <c r="B51" s="29" t="s">
        <v>240</v>
      </c>
      <c r="C51" s="29" t="s">
        <v>231</v>
      </c>
      <c r="D51" s="29" t="s">
        <v>232</v>
      </c>
      <c r="E51" s="29" t="s">
        <v>6</v>
      </c>
      <c r="F51" s="29" t="s">
        <v>245</v>
      </c>
      <c r="G51" s="29" t="s">
        <v>266</v>
      </c>
      <c r="H51" s="32">
        <v>2</v>
      </c>
      <c r="I51" s="32">
        <v>4726.0600000000004</v>
      </c>
      <c r="J51" s="32">
        <v>9452.1200000000008</v>
      </c>
      <c r="K51" s="29"/>
      <c r="M51" s="29"/>
      <c r="N51" s="29"/>
      <c r="P51" s="29"/>
      <c r="Q51" s="29"/>
      <c r="S51" s="29"/>
      <c r="T51" s="29"/>
      <c r="V51" s="29"/>
      <c r="X51" s="29"/>
      <c r="Y51" s="29"/>
      <c r="Z51" s="29"/>
    </row>
    <row r="52" spans="1:26" ht="15" thickBot="1">
      <c r="A52" s="49">
        <v>45079</v>
      </c>
      <c r="B52" s="29" t="s">
        <v>260</v>
      </c>
      <c r="C52" s="29" t="s">
        <v>241</v>
      </c>
      <c r="D52" s="29" t="s">
        <v>242</v>
      </c>
      <c r="E52" s="29" t="s">
        <v>8</v>
      </c>
      <c r="F52" s="29" t="s">
        <v>245</v>
      </c>
      <c r="G52" s="29" t="s">
        <v>269</v>
      </c>
      <c r="H52" s="32">
        <v>3</v>
      </c>
      <c r="I52" s="32">
        <v>2263.4699999999998</v>
      </c>
      <c r="J52" s="32">
        <v>6790.41</v>
      </c>
      <c r="K52" s="29"/>
      <c r="M52" s="29"/>
      <c r="N52" s="29"/>
      <c r="P52" s="29"/>
      <c r="Q52" s="29"/>
      <c r="S52" s="29"/>
      <c r="T52" s="29"/>
      <c r="V52" s="29"/>
      <c r="X52" s="29"/>
      <c r="Y52" s="29"/>
      <c r="Z52" s="29"/>
    </row>
    <row r="53" spans="1:26" ht="15" thickBot="1">
      <c r="A53" s="32" t="s">
        <v>311</v>
      </c>
      <c r="B53" s="29" t="s">
        <v>240</v>
      </c>
      <c r="C53" s="29" t="s">
        <v>258</v>
      </c>
      <c r="D53" s="29" t="s">
        <v>242</v>
      </c>
      <c r="E53" s="29" t="s">
        <v>8</v>
      </c>
      <c r="F53" s="29" t="s">
        <v>233</v>
      </c>
      <c r="G53" s="29" t="s">
        <v>287</v>
      </c>
      <c r="H53" s="32">
        <v>20</v>
      </c>
      <c r="I53" s="32">
        <v>4365.58</v>
      </c>
      <c r="J53" s="32">
        <v>87311.6</v>
      </c>
      <c r="K53" s="29"/>
      <c r="M53" s="29"/>
      <c r="N53" s="29"/>
      <c r="P53" s="29"/>
      <c r="Q53" s="29"/>
      <c r="S53" s="29"/>
      <c r="T53" s="29"/>
      <c r="V53" s="29"/>
      <c r="X53" s="29"/>
      <c r="Y53" s="29"/>
      <c r="Z53" s="29"/>
    </row>
    <row r="54" spans="1:26" ht="15" thickBot="1">
      <c r="A54" s="32" t="s">
        <v>312</v>
      </c>
      <c r="B54" s="29" t="s">
        <v>271</v>
      </c>
      <c r="C54" s="29" t="s">
        <v>313</v>
      </c>
      <c r="D54" s="29" t="s">
        <v>252</v>
      </c>
      <c r="E54" s="29" t="s">
        <v>5</v>
      </c>
      <c r="F54" s="29" t="s">
        <v>259</v>
      </c>
      <c r="G54" s="29" t="s">
        <v>179</v>
      </c>
      <c r="H54" s="32">
        <v>20</v>
      </c>
      <c r="I54" s="32">
        <v>3925.65</v>
      </c>
      <c r="J54" s="32">
        <v>78513</v>
      </c>
      <c r="K54" s="29"/>
      <c r="M54" s="29"/>
      <c r="N54" s="29"/>
      <c r="P54" s="29"/>
      <c r="Q54" s="29"/>
      <c r="S54" s="29"/>
      <c r="T54" s="29"/>
      <c r="V54" s="29"/>
      <c r="X54" s="29"/>
      <c r="Y54" s="29"/>
      <c r="Z54" s="29"/>
    </row>
    <row r="55" spans="1:26" ht="15" thickBot="1">
      <c r="A55" s="49">
        <v>44995</v>
      </c>
      <c r="B55" s="29" t="s">
        <v>235</v>
      </c>
      <c r="C55" s="29" t="s">
        <v>255</v>
      </c>
      <c r="D55" s="29" t="s">
        <v>237</v>
      </c>
      <c r="E55" s="29" t="s">
        <v>8</v>
      </c>
      <c r="F55" s="29" t="s">
        <v>233</v>
      </c>
      <c r="G55" s="29" t="s">
        <v>301</v>
      </c>
      <c r="H55" s="32">
        <v>3</v>
      </c>
      <c r="I55" s="32">
        <v>3613.98</v>
      </c>
      <c r="J55" s="32">
        <v>10841.94</v>
      </c>
      <c r="K55" s="29"/>
      <c r="M55" s="29"/>
      <c r="N55" s="29"/>
      <c r="P55" s="29"/>
      <c r="Q55" s="29"/>
      <c r="S55" s="29"/>
      <c r="T55" s="29"/>
      <c r="V55" s="29"/>
      <c r="X55" s="29"/>
      <c r="Y55" s="29"/>
      <c r="Z55" s="29"/>
    </row>
    <row r="56" spans="1:26" ht="15" thickBot="1">
      <c r="A56" s="49">
        <v>45236</v>
      </c>
      <c r="B56" s="29" t="s">
        <v>268</v>
      </c>
      <c r="C56" s="29" t="s">
        <v>249</v>
      </c>
      <c r="D56" s="29" t="s">
        <v>232</v>
      </c>
      <c r="E56" s="29" t="s">
        <v>6</v>
      </c>
      <c r="F56" s="29" t="s">
        <v>238</v>
      </c>
      <c r="G56" s="29" t="s">
        <v>296</v>
      </c>
      <c r="H56" s="32">
        <v>7</v>
      </c>
      <c r="I56" s="32">
        <v>2483.54</v>
      </c>
      <c r="J56" s="32">
        <v>17384.78</v>
      </c>
      <c r="K56" s="29"/>
      <c r="M56" s="29"/>
      <c r="N56" s="29"/>
      <c r="P56" s="29"/>
      <c r="Q56" s="29"/>
      <c r="S56" s="29"/>
      <c r="T56" s="29"/>
      <c r="V56" s="29"/>
      <c r="X56" s="29"/>
      <c r="Y56" s="29"/>
      <c r="Z56" s="29"/>
    </row>
    <row r="57" spans="1:26" ht="15" thickBot="1">
      <c r="A57" s="49">
        <v>44967</v>
      </c>
      <c r="B57" s="29" t="s">
        <v>254</v>
      </c>
      <c r="C57" s="29" t="s">
        <v>273</v>
      </c>
      <c r="D57" s="29" t="s">
        <v>252</v>
      </c>
      <c r="E57" s="29" t="s">
        <v>5</v>
      </c>
      <c r="F57" s="29" t="s">
        <v>233</v>
      </c>
      <c r="G57" s="29" t="s">
        <v>301</v>
      </c>
      <c r="H57" s="32">
        <v>14</v>
      </c>
      <c r="I57" s="32">
        <v>2145.21</v>
      </c>
      <c r="J57" s="32">
        <v>30032.94</v>
      </c>
      <c r="K57" s="29"/>
      <c r="M57" s="29"/>
      <c r="N57" s="29"/>
      <c r="P57" s="29"/>
      <c r="Q57" s="29"/>
      <c r="S57" s="29"/>
      <c r="T57" s="29"/>
      <c r="V57" s="29"/>
      <c r="X57" s="29"/>
      <c r="Y57" s="29"/>
      <c r="Z57" s="29"/>
    </row>
    <row r="58" spans="1:26" ht="15" thickBot="1">
      <c r="A58" s="32" t="s">
        <v>314</v>
      </c>
      <c r="B58" s="29" t="s">
        <v>268</v>
      </c>
      <c r="C58" s="29" t="s">
        <v>283</v>
      </c>
      <c r="D58" s="29" t="s">
        <v>242</v>
      </c>
      <c r="E58" s="29" t="s">
        <v>8</v>
      </c>
      <c r="F58" s="29" t="s">
        <v>259</v>
      </c>
      <c r="G58" s="29" t="s">
        <v>298</v>
      </c>
      <c r="H58" s="32">
        <v>8</v>
      </c>
      <c r="I58" s="32">
        <v>4997.45</v>
      </c>
      <c r="J58" s="32">
        <v>39979.599999999999</v>
      </c>
      <c r="K58" s="29"/>
      <c r="M58" s="29"/>
      <c r="N58" s="29"/>
      <c r="P58" s="29"/>
      <c r="Q58" s="29"/>
      <c r="S58" s="29"/>
      <c r="T58" s="29"/>
      <c r="V58" s="29"/>
      <c r="X58" s="29"/>
      <c r="Y58" s="29"/>
      <c r="Z58" s="29"/>
    </row>
    <row r="59" spans="1:26" ht="15" thickBot="1">
      <c r="A59" s="49">
        <v>45176</v>
      </c>
      <c r="B59" s="29" t="s">
        <v>271</v>
      </c>
      <c r="C59" s="29" t="s">
        <v>261</v>
      </c>
      <c r="D59" s="29" t="s">
        <v>247</v>
      </c>
      <c r="E59" s="29" t="s">
        <v>6</v>
      </c>
      <c r="F59" s="29" t="s">
        <v>259</v>
      </c>
      <c r="G59" s="29" t="s">
        <v>182</v>
      </c>
      <c r="H59" s="32">
        <v>3</v>
      </c>
      <c r="I59" s="32">
        <v>1753.98</v>
      </c>
      <c r="J59" s="32">
        <v>5261.94</v>
      </c>
      <c r="K59" s="29"/>
      <c r="M59" s="29"/>
      <c r="N59" s="29"/>
      <c r="P59" s="29"/>
      <c r="Q59" s="29"/>
      <c r="S59" s="29"/>
      <c r="T59" s="29"/>
      <c r="V59" s="29"/>
      <c r="X59" s="29"/>
      <c r="Y59" s="29"/>
      <c r="Z59" s="29"/>
    </row>
    <row r="60" spans="1:26" ht="15" thickBot="1">
      <c r="A60" s="32" t="s">
        <v>315</v>
      </c>
      <c r="B60" s="29" t="s">
        <v>257</v>
      </c>
      <c r="C60" s="29" t="s">
        <v>258</v>
      </c>
      <c r="D60" s="29" t="s">
        <v>242</v>
      </c>
      <c r="E60" s="29" t="s">
        <v>8</v>
      </c>
      <c r="F60" s="29" t="s">
        <v>259</v>
      </c>
      <c r="G60" s="29" t="s">
        <v>298</v>
      </c>
      <c r="H60" s="32">
        <v>2</v>
      </c>
      <c r="I60" s="32">
        <v>1207.92</v>
      </c>
      <c r="J60" s="32">
        <v>2415.84</v>
      </c>
      <c r="K60" s="29"/>
      <c r="M60" s="29"/>
      <c r="N60" s="29"/>
      <c r="P60" s="29"/>
      <c r="Q60" s="29"/>
      <c r="S60" s="29"/>
      <c r="T60" s="29"/>
      <c r="V60" s="29"/>
      <c r="X60" s="29"/>
      <c r="Y60" s="29"/>
      <c r="Z60" s="29"/>
    </row>
    <row r="61" spans="1:26" ht="15" thickBot="1">
      <c r="A61" s="49">
        <v>45202</v>
      </c>
      <c r="B61" s="29" t="s">
        <v>248</v>
      </c>
      <c r="C61" s="29" t="s">
        <v>274</v>
      </c>
      <c r="D61" s="29" t="s">
        <v>232</v>
      </c>
      <c r="E61" s="29" t="s">
        <v>6</v>
      </c>
      <c r="F61" s="29" t="s">
        <v>259</v>
      </c>
      <c r="G61" s="29" t="s">
        <v>299</v>
      </c>
      <c r="H61" s="32">
        <v>13</v>
      </c>
      <c r="I61" s="32">
        <v>4196.33</v>
      </c>
      <c r="J61" s="32">
        <v>54552.29</v>
      </c>
      <c r="K61" s="29"/>
      <c r="M61" s="29"/>
      <c r="N61" s="29"/>
      <c r="P61" s="29"/>
      <c r="Q61" s="29"/>
      <c r="S61" s="29"/>
      <c r="T61" s="29"/>
      <c r="V61" s="29"/>
      <c r="X61" s="29"/>
      <c r="Y61" s="29"/>
      <c r="Z61" s="29"/>
    </row>
    <row r="62" spans="1:26" ht="15" thickBot="1">
      <c r="A62" s="49">
        <v>44990</v>
      </c>
      <c r="B62" s="29" t="s">
        <v>280</v>
      </c>
      <c r="C62" s="29" t="s">
        <v>316</v>
      </c>
      <c r="D62" s="29" t="s">
        <v>247</v>
      </c>
      <c r="E62" s="29" t="s">
        <v>6</v>
      </c>
      <c r="F62" s="29" t="s">
        <v>238</v>
      </c>
      <c r="G62" s="29" t="s">
        <v>239</v>
      </c>
      <c r="H62" s="32">
        <v>18</v>
      </c>
      <c r="I62" s="32">
        <v>1310.78</v>
      </c>
      <c r="J62" s="32">
        <v>23594.04</v>
      </c>
      <c r="K62" s="29"/>
      <c r="M62" s="29"/>
      <c r="N62" s="29"/>
      <c r="P62" s="29"/>
      <c r="Q62" s="29"/>
      <c r="S62" s="29"/>
      <c r="T62" s="29"/>
      <c r="V62" s="29"/>
      <c r="X62" s="29"/>
      <c r="Y62" s="29"/>
      <c r="Z62" s="29"/>
    </row>
    <row r="63" spans="1:26" ht="15" thickBot="1">
      <c r="A63" s="32" t="s">
        <v>317</v>
      </c>
      <c r="B63" s="29" t="s">
        <v>271</v>
      </c>
      <c r="C63" s="29" t="s">
        <v>274</v>
      </c>
      <c r="D63" s="29" t="s">
        <v>232</v>
      </c>
      <c r="E63" s="29" t="s">
        <v>6</v>
      </c>
      <c r="F63" s="29" t="s">
        <v>233</v>
      </c>
      <c r="G63" s="29" t="s">
        <v>301</v>
      </c>
      <c r="H63" s="32">
        <v>20</v>
      </c>
      <c r="I63" s="32">
        <v>2142.9</v>
      </c>
      <c r="J63" s="32">
        <v>42858</v>
      </c>
      <c r="K63" s="29"/>
      <c r="M63" s="29"/>
      <c r="N63" s="29"/>
      <c r="P63" s="29"/>
      <c r="Q63" s="29"/>
      <c r="S63" s="29"/>
      <c r="T63" s="29"/>
      <c r="V63" s="29"/>
      <c r="X63" s="29"/>
      <c r="Y63" s="29"/>
      <c r="Z63" s="29"/>
    </row>
    <row r="64" spans="1:26" ht="15" thickBot="1">
      <c r="A64" s="49">
        <v>44997</v>
      </c>
      <c r="B64" s="29" t="s">
        <v>280</v>
      </c>
      <c r="C64" s="29" t="s">
        <v>313</v>
      </c>
      <c r="D64" s="29" t="s">
        <v>252</v>
      </c>
      <c r="E64" s="29" t="s">
        <v>5</v>
      </c>
      <c r="F64" s="29" t="s">
        <v>259</v>
      </c>
      <c r="G64" s="29" t="s">
        <v>299</v>
      </c>
      <c r="H64" s="32">
        <v>19</v>
      </c>
      <c r="I64" s="32">
        <v>1359.7</v>
      </c>
      <c r="J64" s="32">
        <v>25834.3</v>
      </c>
      <c r="K64" s="29"/>
      <c r="M64" s="29"/>
      <c r="N64" s="29"/>
      <c r="P64" s="29"/>
      <c r="Q64" s="29"/>
      <c r="S64" s="29"/>
      <c r="T64" s="29"/>
      <c r="V64" s="29"/>
      <c r="X64" s="29"/>
      <c r="Y64" s="29"/>
      <c r="Z64" s="29"/>
    </row>
    <row r="65" spans="1:26" ht="15" thickBot="1">
      <c r="A65" s="32" t="s">
        <v>318</v>
      </c>
      <c r="B65" s="29" t="s">
        <v>230</v>
      </c>
      <c r="C65" s="29" t="s">
        <v>283</v>
      </c>
      <c r="D65" s="29" t="s">
        <v>242</v>
      </c>
      <c r="E65" s="29" t="s">
        <v>8</v>
      </c>
      <c r="F65" s="29" t="s">
        <v>233</v>
      </c>
      <c r="G65" s="29" t="s">
        <v>301</v>
      </c>
      <c r="H65" s="32">
        <v>16</v>
      </c>
      <c r="I65" s="32">
        <v>4896.07</v>
      </c>
      <c r="J65" s="32">
        <v>78337.119999999995</v>
      </c>
      <c r="K65" s="29"/>
      <c r="M65" s="29"/>
      <c r="N65" s="29"/>
      <c r="P65" s="29"/>
      <c r="Q65" s="29"/>
      <c r="S65" s="29"/>
      <c r="T65" s="29"/>
      <c r="V65" s="29"/>
      <c r="X65" s="29"/>
      <c r="Y65" s="29"/>
      <c r="Z65" s="29"/>
    </row>
    <row r="66" spans="1:26" ht="15" thickBot="1">
      <c r="A66" s="32" t="s">
        <v>319</v>
      </c>
      <c r="B66" s="29" t="s">
        <v>254</v>
      </c>
      <c r="C66" s="29" t="s">
        <v>241</v>
      </c>
      <c r="D66" s="29" t="s">
        <v>242</v>
      </c>
      <c r="E66" s="29" t="s">
        <v>8</v>
      </c>
      <c r="F66" s="29" t="s">
        <v>238</v>
      </c>
      <c r="G66" s="29" t="s">
        <v>296</v>
      </c>
      <c r="H66" s="32">
        <v>8</v>
      </c>
      <c r="I66" s="32">
        <v>4216.03</v>
      </c>
      <c r="J66" s="32">
        <v>33728.239999999998</v>
      </c>
      <c r="K66" s="29"/>
      <c r="M66" s="29"/>
      <c r="N66" s="29"/>
      <c r="P66" s="29"/>
      <c r="Q66" s="29"/>
      <c r="S66" s="29"/>
      <c r="T66" s="29"/>
      <c r="V66" s="29"/>
      <c r="X66" s="29"/>
      <c r="Y66" s="29"/>
      <c r="Z66" s="29"/>
    </row>
    <row r="67" spans="1:26" ht="15" thickBot="1">
      <c r="A67" s="49">
        <v>45054</v>
      </c>
      <c r="B67" s="29" t="s">
        <v>248</v>
      </c>
      <c r="C67" s="29" t="s">
        <v>274</v>
      </c>
      <c r="D67" s="29" t="s">
        <v>232</v>
      </c>
      <c r="E67" s="29" t="s">
        <v>6</v>
      </c>
      <c r="F67" s="29" t="s">
        <v>250</v>
      </c>
      <c r="G67" s="29" t="s">
        <v>277</v>
      </c>
      <c r="H67" s="32">
        <v>14</v>
      </c>
      <c r="I67" s="32">
        <v>2134.06</v>
      </c>
      <c r="J67" s="32">
        <v>29876.84</v>
      </c>
      <c r="K67" s="29"/>
      <c r="M67" s="29"/>
      <c r="N67" s="29"/>
      <c r="P67" s="29"/>
      <c r="Q67" s="29"/>
      <c r="S67" s="29"/>
      <c r="T67" s="29"/>
      <c r="V67" s="29"/>
      <c r="X67" s="29"/>
      <c r="Y67" s="29"/>
      <c r="Z67" s="29"/>
    </row>
    <row r="68" spans="1:26" ht="15" thickBot="1">
      <c r="A68" s="32" t="s">
        <v>320</v>
      </c>
      <c r="B68" s="29" t="s">
        <v>280</v>
      </c>
      <c r="C68" s="29" t="s">
        <v>273</v>
      </c>
      <c r="D68" s="29" t="s">
        <v>252</v>
      </c>
      <c r="E68" s="29" t="s">
        <v>5</v>
      </c>
      <c r="F68" s="29" t="s">
        <v>233</v>
      </c>
      <c r="G68" s="29" t="s">
        <v>287</v>
      </c>
      <c r="H68" s="32">
        <v>6</v>
      </c>
      <c r="I68" s="32">
        <v>1523.33</v>
      </c>
      <c r="J68" s="32">
        <v>9139.98</v>
      </c>
      <c r="K68" s="29"/>
      <c r="M68" s="29"/>
      <c r="N68" s="29"/>
      <c r="P68" s="29"/>
      <c r="Q68" s="29"/>
      <c r="S68" s="29"/>
      <c r="T68" s="29"/>
      <c r="V68" s="29"/>
      <c r="X68" s="29"/>
      <c r="Y68" s="29"/>
      <c r="Z68" s="29"/>
    </row>
    <row r="69" spans="1:26" ht="15" thickBot="1">
      <c r="A69" s="32" t="s">
        <v>321</v>
      </c>
      <c r="B69" s="29" t="s">
        <v>240</v>
      </c>
      <c r="C69" s="29" t="s">
        <v>244</v>
      </c>
      <c r="D69" s="29" t="s">
        <v>237</v>
      </c>
      <c r="E69" s="29" t="s">
        <v>8</v>
      </c>
      <c r="F69" s="29" t="s">
        <v>250</v>
      </c>
      <c r="G69" s="29" t="s">
        <v>251</v>
      </c>
      <c r="H69" s="32">
        <v>13</v>
      </c>
      <c r="I69" s="32">
        <v>646.63</v>
      </c>
      <c r="J69" s="32">
        <v>8406.19</v>
      </c>
      <c r="K69" s="29"/>
      <c r="M69" s="29"/>
      <c r="N69" s="29"/>
      <c r="P69" s="29"/>
      <c r="Q69" s="29"/>
      <c r="S69" s="29"/>
      <c r="T69" s="29"/>
      <c r="V69" s="29"/>
      <c r="X69" s="29"/>
      <c r="Y69" s="29"/>
      <c r="Z69" s="29"/>
    </row>
    <row r="70" spans="1:26" ht="15" thickBot="1">
      <c r="A70" s="32" t="s">
        <v>305</v>
      </c>
      <c r="B70" s="29" t="s">
        <v>257</v>
      </c>
      <c r="C70" s="29" t="s">
        <v>283</v>
      </c>
      <c r="D70" s="29" t="s">
        <v>242</v>
      </c>
      <c r="E70" s="29" t="s">
        <v>8</v>
      </c>
      <c r="F70" s="29" t="s">
        <v>238</v>
      </c>
      <c r="G70" s="29" t="s">
        <v>303</v>
      </c>
      <c r="H70" s="32">
        <v>4</v>
      </c>
      <c r="I70" s="32">
        <v>4965.34</v>
      </c>
      <c r="J70" s="32">
        <v>19861.36</v>
      </c>
      <c r="K70" s="29"/>
      <c r="M70" s="29"/>
      <c r="N70" s="29"/>
      <c r="P70" s="29"/>
      <c r="Q70" s="29"/>
      <c r="S70" s="29"/>
      <c r="T70" s="29"/>
      <c r="V70" s="29"/>
      <c r="X70" s="29"/>
      <c r="Y70" s="29"/>
      <c r="Z70" s="29"/>
    </row>
    <row r="71" spans="1:26" ht="15" thickBot="1">
      <c r="A71" s="32" t="s">
        <v>322</v>
      </c>
      <c r="B71" s="29" t="s">
        <v>268</v>
      </c>
      <c r="C71" s="29" t="s">
        <v>274</v>
      </c>
      <c r="D71" s="29" t="s">
        <v>232</v>
      </c>
      <c r="E71" s="29" t="s">
        <v>6</v>
      </c>
      <c r="F71" s="29" t="s">
        <v>238</v>
      </c>
      <c r="G71" s="29" t="s">
        <v>256</v>
      </c>
      <c r="H71" s="32">
        <v>14</v>
      </c>
      <c r="I71" s="32">
        <v>2883.11</v>
      </c>
      <c r="J71" s="32">
        <v>40363.54</v>
      </c>
      <c r="K71" s="29"/>
      <c r="M71" s="29"/>
      <c r="N71" s="29"/>
      <c r="P71" s="29"/>
      <c r="Q71" s="29"/>
      <c r="S71" s="29"/>
      <c r="T71" s="29"/>
      <c r="V71" s="29"/>
      <c r="X71" s="29"/>
      <c r="Y71" s="29"/>
      <c r="Z71" s="29"/>
    </row>
    <row r="72" spans="1:26" ht="15" thickBot="1">
      <c r="A72" s="32" t="s">
        <v>323</v>
      </c>
      <c r="B72" s="29" t="s">
        <v>254</v>
      </c>
      <c r="C72" s="29" t="s">
        <v>281</v>
      </c>
      <c r="D72" s="29" t="s">
        <v>252</v>
      </c>
      <c r="E72" s="29" t="s">
        <v>5</v>
      </c>
      <c r="F72" s="29" t="s">
        <v>250</v>
      </c>
      <c r="G72" s="29" t="s">
        <v>277</v>
      </c>
      <c r="H72" s="32">
        <v>9</v>
      </c>
      <c r="I72" s="32">
        <v>2819.87</v>
      </c>
      <c r="J72" s="32">
        <v>25378.83</v>
      </c>
      <c r="K72" s="29"/>
      <c r="M72" s="29"/>
      <c r="N72" s="29"/>
      <c r="P72" s="29"/>
      <c r="Q72" s="29"/>
      <c r="S72" s="29"/>
      <c r="T72" s="29"/>
      <c r="V72" s="29"/>
      <c r="X72" s="29"/>
      <c r="Y72" s="29"/>
      <c r="Z72" s="29"/>
    </row>
    <row r="73" spans="1:26" ht="15" thickBot="1">
      <c r="A73" s="32" t="s">
        <v>263</v>
      </c>
      <c r="B73" s="29" t="s">
        <v>248</v>
      </c>
      <c r="C73" s="29" t="s">
        <v>249</v>
      </c>
      <c r="D73" s="29" t="s">
        <v>232</v>
      </c>
      <c r="E73" s="29" t="s">
        <v>6</v>
      </c>
      <c r="F73" s="29" t="s">
        <v>245</v>
      </c>
      <c r="G73" s="29" t="s">
        <v>246</v>
      </c>
      <c r="H73" s="32">
        <v>12</v>
      </c>
      <c r="I73" s="32">
        <v>3961.23</v>
      </c>
      <c r="J73" s="32">
        <v>47534.76</v>
      </c>
      <c r="K73" s="29"/>
      <c r="M73" s="29"/>
      <c r="N73" s="29"/>
      <c r="P73" s="29"/>
      <c r="Q73" s="29"/>
      <c r="S73" s="29"/>
      <c r="T73" s="29"/>
      <c r="V73" s="29"/>
      <c r="X73" s="29"/>
      <c r="Y73" s="29"/>
      <c r="Z73" s="29"/>
    </row>
    <row r="74" spans="1:26" ht="15" thickBot="1">
      <c r="A74" s="49">
        <v>44960</v>
      </c>
      <c r="B74" s="29" t="s">
        <v>257</v>
      </c>
      <c r="C74" s="29" t="s">
        <v>244</v>
      </c>
      <c r="D74" s="29" t="s">
        <v>237</v>
      </c>
      <c r="E74" s="29" t="s">
        <v>8</v>
      </c>
      <c r="F74" s="29" t="s">
        <v>245</v>
      </c>
      <c r="G74" s="29" t="s">
        <v>246</v>
      </c>
      <c r="H74" s="32">
        <v>15</v>
      </c>
      <c r="I74" s="32">
        <v>2194.7199999999998</v>
      </c>
      <c r="J74" s="32">
        <v>32920.800000000003</v>
      </c>
      <c r="K74" s="29"/>
      <c r="M74" s="29"/>
      <c r="N74" s="29"/>
      <c r="P74" s="29"/>
      <c r="Q74" s="29"/>
      <c r="S74" s="29"/>
      <c r="T74" s="29"/>
      <c r="V74" s="29"/>
      <c r="X74" s="29"/>
      <c r="Y74" s="29"/>
      <c r="Z74" s="29"/>
    </row>
    <row r="75" spans="1:26" ht="15" thickBot="1">
      <c r="A75" s="32" t="s">
        <v>324</v>
      </c>
      <c r="B75" s="29" t="s">
        <v>254</v>
      </c>
      <c r="C75" s="29" t="s">
        <v>258</v>
      </c>
      <c r="D75" s="29" t="s">
        <v>242</v>
      </c>
      <c r="E75" s="29" t="s">
        <v>8</v>
      </c>
      <c r="F75" s="29" t="s">
        <v>259</v>
      </c>
      <c r="G75" s="29" t="s">
        <v>298</v>
      </c>
      <c r="H75" s="32">
        <v>5</v>
      </c>
      <c r="I75" s="32">
        <v>3058.74</v>
      </c>
      <c r="J75" s="32">
        <v>15293.7</v>
      </c>
      <c r="K75" s="29"/>
      <c r="M75" s="29"/>
      <c r="N75" s="29"/>
      <c r="P75" s="29"/>
      <c r="Q75" s="29"/>
      <c r="S75" s="29"/>
      <c r="T75" s="29"/>
      <c r="V75" s="29"/>
      <c r="X75" s="29"/>
      <c r="Y75" s="29"/>
      <c r="Z75" s="29"/>
    </row>
    <row r="76" spans="1:26" ht="15" thickBot="1">
      <c r="A76" s="49">
        <v>45211</v>
      </c>
      <c r="B76" s="29" t="s">
        <v>260</v>
      </c>
      <c r="C76" s="29" t="s">
        <v>249</v>
      </c>
      <c r="D76" s="29" t="s">
        <v>232</v>
      </c>
      <c r="E76" s="29" t="s">
        <v>6</v>
      </c>
      <c r="F76" s="29" t="s">
        <v>245</v>
      </c>
      <c r="G76" s="29" t="s">
        <v>246</v>
      </c>
      <c r="H76" s="32">
        <v>11</v>
      </c>
      <c r="I76" s="32">
        <v>827.59</v>
      </c>
      <c r="J76" s="32">
        <v>9103.49</v>
      </c>
      <c r="K76" s="29"/>
      <c r="M76" s="29"/>
      <c r="N76" s="29"/>
      <c r="P76" s="29"/>
      <c r="Q76" s="29"/>
      <c r="S76" s="29"/>
      <c r="T76" s="29"/>
      <c r="V76" s="29"/>
      <c r="X76" s="29"/>
      <c r="Y76" s="29"/>
      <c r="Z76" s="29"/>
    </row>
    <row r="77" spans="1:26" ht="15" thickBot="1">
      <c r="A77" s="32" t="s">
        <v>325</v>
      </c>
      <c r="B77" s="29" t="s">
        <v>268</v>
      </c>
      <c r="C77" s="29" t="s">
        <v>244</v>
      </c>
      <c r="D77" s="29" t="s">
        <v>237</v>
      </c>
      <c r="E77" s="29" t="s">
        <v>8</v>
      </c>
      <c r="F77" s="29" t="s">
        <v>259</v>
      </c>
      <c r="G77" s="29" t="s">
        <v>299</v>
      </c>
      <c r="H77" s="32">
        <v>10</v>
      </c>
      <c r="I77" s="32">
        <v>2008.29</v>
      </c>
      <c r="J77" s="32">
        <v>20082.900000000001</v>
      </c>
      <c r="K77" s="29"/>
      <c r="M77" s="29"/>
      <c r="N77" s="29"/>
      <c r="P77" s="29"/>
      <c r="Q77" s="29"/>
      <c r="S77" s="29"/>
      <c r="T77" s="29"/>
      <c r="V77" s="29"/>
      <c r="X77" s="29"/>
      <c r="Y77" s="29"/>
      <c r="Z77" s="29"/>
    </row>
    <row r="78" spans="1:26" ht="15" thickBot="1">
      <c r="A78" s="32" t="s">
        <v>275</v>
      </c>
      <c r="B78" s="29" t="s">
        <v>260</v>
      </c>
      <c r="C78" s="29" t="s">
        <v>276</v>
      </c>
      <c r="D78" s="29" t="s">
        <v>247</v>
      </c>
      <c r="E78" s="29" t="s">
        <v>6</v>
      </c>
      <c r="F78" s="29" t="s">
        <v>245</v>
      </c>
      <c r="G78" s="29" t="s">
        <v>266</v>
      </c>
      <c r="H78" s="32">
        <v>3</v>
      </c>
      <c r="I78" s="32">
        <v>4157.17</v>
      </c>
      <c r="J78" s="32">
        <v>12471.51</v>
      </c>
      <c r="K78" s="29"/>
      <c r="M78" s="29"/>
      <c r="N78" s="29"/>
      <c r="P78" s="29"/>
      <c r="Q78" s="29"/>
      <c r="S78" s="29"/>
      <c r="T78" s="29"/>
      <c r="V78" s="29"/>
      <c r="X78" s="29"/>
      <c r="Y78" s="29"/>
      <c r="Z78" s="29"/>
    </row>
    <row r="79" spans="1:26" ht="15" thickBot="1">
      <c r="A79" s="49">
        <v>45109</v>
      </c>
      <c r="B79" s="29" t="s">
        <v>248</v>
      </c>
      <c r="C79" s="29" t="s">
        <v>283</v>
      </c>
      <c r="D79" s="29" t="s">
        <v>242</v>
      </c>
      <c r="E79" s="29" t="s">
        <v>8</v>
      </c>
      <c r="F79" s="29" t="s">
        <v>233</v>
      </c>
      <c r="G79" s="29" t="s">
        <v>304</v>
      </c>
      <c r="H79" s="32">
        <v>19</v>
      </c>
      <c r="I79" s="32">
        <v>2880.28</v>
      </c>
      <c r="J79" s="32">
        <v>54725.32</v>
      </c>
      <c r="K79" s="29"/>
      <c r="M79" s="29"/>
      <c r="N79" s="29"/>
      <c r="P79" s="29"/>
      <c r="Q79" s="29"/>
      <c r="S79" s="29"/>
      <c r="T79" s="29"/>
      <c r="V79" s="29"/>
      <c r="X79" s="29"/>
      <c r="Y79" s="29"/>
      <c r="Z79" s="29"/>
    </row>
    <row r="80" spans="1:26" ht="15" thickBot="1">
      <c r="A80" s="32" t="s">
        <v>326</v>
      </c>
      <c r="B80" s="29" t="s">
        <v>280</v>
      </c>
      <c r="C80" s="29" t="s">
        <v>261</v>
      </c>
      <c r="D80" s="29" t="s">
        <v>247</v>
      </c>
      <c r="E80" s="29" t="s">
        <v>6</v>
      </c>
      <c r="F80" s="29" t="s">
        <v>259</v>
      </c>
      <c r="G80" s="29" t="s">
        <v>182</v>
      </c>
      <c r="H80" s="32">
        <v>6</v>
      </c>
      <c r="I80" s="32">
        <v>1212.76</v>
      </c>
      <c r="J80" s="32">
        <v>7276.56</v>
      </c>
      <c r="K80" s="29"/>
      <c r="M80" s="29"/>
      <c r="N80" s="29"/>
      <c r="P80" s="29"/>
      <c r="Q80" s="29"/>
      <c r="S80" s="29"/>
      <c r="T80" s="29"/>
      <c r="V80" s="29"/>
      <c r="X80" s="29"/>
      <c r="Y80" s="29"/>
      <c r="Z80" s="29"/>
    </row>
    <row r="81" spans="1:26" ht="15" thickBot="1">
      <c r="A81" s="32" t="s">
        <v>327</v>
      </c>
      <c r="B81" s="29" t="s">
        <v>254</v>
      </c>
      <c r="C81" s="29" t="s">
        <v>316</v>
      </c>
      <c r="D81" s="29" t="s">
        <v>247</v>
      </c>
      <c r="E81" s="29" t="s">
        <v>6</v>
      </c>
      <c r="F81" s="29" t="s">
        <v>259</v>
      </c>
      <c r="G81" s="29" t="s">
        <v>298</v>
      </c>
      <c r="H81" s="32">
        <v>11</v>
      </c>
      <c r="I81" s="32">
        <v>4463.4799999999996</v>
      </c>
      <c r="J81" s="32">
        <v>49098.28</v>
      </c>
      <c r="K81" s="29"/>
      <c r="M81" s="29"/>
      <c r="N81" s="29"/>
      <c r="P81" s="29"/>
      <c r="Q81" s="29"/>
      <c r="S81" s="29"/>
      <c r="T81" s="29"/>
      <c r="V81" s="29"/>
      <c r="X81" s="29"/>
      <c r="Y81" s="29"/>
      <c r="Z81" s="29"/>
    </row>
    <row r="82" spans="1:26" ht="15" thickBot="1">
      <c r="A82" s="49">
        <v>45236</v>
      </c>
      <c r="B82" s="29" t="s">
        <v>268</v>
      </c>
      <c r="C82" s="29" t="s">
        <v>258</v>
      </c>
      <c r="D82" s="29" t="s">
        <v>242</v>
      </c>
      <c r="E82" s="29" t="s">
        <v>8</v>
      </c>
      <c r="F82" s="29" t="s">
        <v>238</v>
      </c>
      <c r="G82" s="29" t="s">
        <v>256</v>
      </c>
      <c r="H82" s="32">
        <v>17</v>
      </c>
      <c r="I82" s="32">
        <v>3975.74</v>
      </c>
      <c r="J82" s="32">
        <v>67587.58</v>
      </c>
      <c r="K82" s="29"/>
      <c r="M82" s="29"/>
      <c r="N82" s="29"/>
      <c r="P82" s="29"/>
      <c r="Q82" s="29"/>
      <c r="S82" s="29"/>
      <c r="T82" s="29"/>
      <c r="V82" s="29"/>
      <c r="X82" s="29"/>
      <c r="Y82" s="29"/>
      <c r="Z82" s="29"/>
    </row>
    <row r="83" spans="1:26" ht="15" thickBot="1">
      <c r="A83" s="32" t="s">
        <v>328</v>
      </c>
      <c r="B83" s="29" t="s">
        <v>230</v>
      </c>
      <c r="C83" s="29" t="s">
        <v>236</v>
      </c>
      <c r="D83" s="29" t="s">
        <v>237</v>
      </c>
      <c r="E83" s="29" t="s">
        <v>8</v>
      </c>
      <c r="F83" s="29" t="s">
        <v>245</v>
      </c>
      <c r="G83" s="29" t="s">
        <v>269</v>
      </c>
      <c r="H83" s="32">
        <v>15</v>
      </c>
      <c r="I83" s="32">
        <v>2158.2199999999998</v>
      </c>
      <c r="J83" s="32">
        <v>32373.3</v>
      </c>
      <c r="K83" s="29"/>
      <c r="M83" s="29"/>
      <c r="N83" s="29"/>
      <c r="P83" s="29"/>
      <c r="Q83" s="29"/>
      <c r="S83" s="29"/>
      <c r="T83" s="29"/>
      <c r="V83" s="29"/>
      <c r="X83" s="29"/>
      <c r="Y83" s="29"/>
      <c r="Z83" s="29"/>
    </row>
    <row r="84" spans="1:26" ht="15" thickBot="1">
      <c r="A84" s="32" t="s">
        <v>329</v>
      </c>
      <c r="B84" s="29" t="s">
        <v>240</v>
      </c>
      <c r="C84" s="29" t="s">
        <v>276</v>
      </c>
      <c r="D84" s="29" t="s">
        <v>247</v>
      </c>
      <c r="E84" s="29" t="s">
        <v>6</v>
      </c>
      <c r="F84" s="29" t="s">
        <v>245</v>
      </c>
      <c r="G84" s="29" t="s">
        <v>266</v>
      </c>
      <c r="H84" s="32">
        <v>17</v>
      </c>
      <c r="I84" s="32">
        <v>1720.9</v>
      </c>
      <c r="J84" s="32">
        <v>29255.3</v>
      </c>
      <c r="K84" s="29"/>
      <c r="M84" s="29"/>
      <c r="N84" s="29"/>
      <c r="P84" s="29"/>
      <c r="Q84" s="29"/>
      <c r="S84" s="29"/>
      <c r="T84" s="29"/>
      <c r="V84" s="29"/>
      <c r="X84" s="29"/>
      <c r="Y84" s="29"/>
      <c r="Z84" s="29"/>
    </row>
    <row r="85" spans="1:26" ht="15" thickBot="1">
      <c r="A85" s="32" t="s">
        <v>330</v>
      </c>
      <c r="B85" s="29" t="s">
        <v>260</v>
      </c>
      <c r="C85" s="29" t="s">
        <v>249</v>
      </c>
      <c r="D85" s="29" t="s">
        <v>232</v>
      </c>
      <c r="E85" s="29" t="s">
        <v>6</v>
      </c>
      <c r="F85" s="29" t="s">
        <v>245</v>
      </c>
      <c r="G85" s="29" t="s">
        <v>246</v>
      </c>
      <c r="H85" s="32">
        <v>11</v>
      </c>
      <c r="I85" s="32">
        <v>3562.92</v>
      </c>
      <c r="J85" s="32">
        <v>39192.120000000003</v>
      </c>
      <c r="K85" s="29"/>
      <c r="M85" s="29"/>
      <c r="N85" s="29"/>
      <c r="P85" s="29"/>
      <c r="Q85" s="29"/>
      <c r="S85" s="29"/>
      <c r="T85" s="29"/>
      <c r="V85" s="29"/>
      <c r="X85" s="29"/>
      <c r="Y85" s="29"/>
      <c r="Z85" s="29"/>
    </row>
    <row r="86" spans="1:26" ht="15" thickBot="1">
      <c r="A86" s="32" t="s">
        <v>331</v>
      </c>
      <c r="B86" s="29" t="s">
        <v>254</v>
      </c>
      <c r="C86" s="29" t="s">
        <v>249</v>
      </c>
      <c r="D86" s="29" t="s">
        <v>232</v>
      </c>
      <c r="E86" s="29" t="s">
        <v>6</v>
      </c>
      <c r="F86" s="29" t="s">
        <v>238</v>
      </c>
      <c r="G86" s="29" t="s">
        <v>256</v>
      </c>
      <c r="H86" s="32">
        <v>17</v>
      </c>
      <c r="I86" s="32">
        <v>608.79</v>
      </c>
      <c r="J86" s="32">
        <v>10349.43</v>
      </c>
      <c r="K86" s="29"/>
      <c r="M86" s="29"/>
      <c r="N86" s="29"/>
      <c r="P86" s="29"/>
      <c r="Q86" s="29"/>
      <c r="S86" s="29"/>
      <c r="T86" s="29"/>
      <c r="V86" s="29"/>
      <c r="X86" s="29"/>
      <c r="Y86" s="29"/>
      <c r="Z86" s="29"/>
    </row>
    <row r="87" spans="1:26" ht="15" thickBot="1">
      <c r="A87" s="32" t="s">
        <v>308</v>
      </c>
      <c r="B87" s="29" t="s">
        <v>257</v>
      </c>
      <c r="C87" s="29" t="s">
        <v>261</v>
      </c>
      <c r="D87" s="29" t="s">
        <v>247</v>
      </c>
      <c r="E87" s="29" t="s">
        <v>6</v>
      </c>
      <c r="F87" s="29" t="s">
        <v>250</v>
      </c>
      <c r="G87" s="29" t="s">
        <v>251</v>
      </c>
      <c r="H87" s="32">
        <v>20</v>
      </c>
      <c r="I87" s="32">
        <v>4856.17</v>
      </c>
      <c r="J87" s="32">
        <v>97123.4</v>
      </c>
      <c r="K87" s="29"/>
      <c r="M87" s="29"/>
      <c r="N87" s="29"/>
      <c r="P87" s="29"/>
      <c r="Q87" s="29"/>
      <c r="S87" s="29"/>
      <c r="T87" s="29"/>
      <c r="V87" s="29"/>
      <c r="X87" s="29"/>
      <c r="Y87" s="29"/>
      <c r="Z87" s="29"/>
    </row>
    <row r="88" spans="1:26" ht="15" thickBot="1">
      <c r="A88" s="32" t="s">
        <v>321</v>
      </c>
      <c r="B88" s="29" t="s">
        <v>280</v>
      </c>
      <c r="C88" s="29" t="s">
        <v>273</v>
      </c>
      <c r="D88" s="29" t="s">
        <v>252</v>
      </c>
      <c r="E88" s="29" t="s">
        <v>5</v>
      </c>
      <c r="F88" s="29" t="s">
        <v>238</v>
      </c>
      <c r="G88" s="29" t="s">
        <v>239</v>
      </c>
      <c r="H88" s="32">
        <v>12</v>
      </c>
      <c r="I88" s="32">
        <v>4298</v>
      </c>
      <c r="J88" s="32">
        <v>51576</v>
      </c>
      <c r="K88" s="29"/>
      <c r="M88" s="29"/>
      <c r="N88" s="29"/>
      <c r="P88" s="29"/>
      <c r="Q88" s="29"/>
      <c r="S88" s="29"/>
      <c r="T88" s="29"/>
      <c r="V88" s="29"/>
      <c r="X88" s="29"/>
      <c r="Y88" s="29"/>
      <c r="Z88" s="29"/>
    </row>
    <row r="89" spans="1:26" ht="15" thickBot="1">
      <c r="A89" s="49">
        <v>45020</v>
      </c>
      <c r="B89" s="29" t="s">
        <v>254</v>
      </c>
      <c r="C89" s="29" t="s">
        <v>281</v>
      </c>
      <c r="D89" s="29" t="s">
        <v>252</v>
      </c>
      <c r="E89" s="29" t="s">
        <v>5</v>
      </c>
      <c r="F89" s="29" t="s">
        <v>259</v>
      </c>
      <c r="G89" s="29" t="s">
        <v>298</v>
      </c>
      <c r="H89" s="32">
        <v>7</v>
      </c>
      <c r="I89" s="32">
        <v>1160.3499999999999</v>
      </c>
      <c r="J89" s="32">
        <v>8122.45</v>
      </c>
      <c r="K89" s="29"/>
      <c r="M89" s="29"/>
      <c r="N89" s="29"/>
      <c r="P89" s="29"/>
      <c r="Q89" s="29"/>
      <c r="S89" s="29"/>
      <c r="T89" s="29"/>
      <c r="V89" s="29"/>
      <c r="X89" s="29"/>
      <c r="Y89" s="29"/>
      <c r="Z89" s="29"/>
    </row>
    <row r="90" spans="1:26" ht="15" thickBot="1">
      <c r="A90" s="49">
        <v>45115</v>
      </c>
      <c r="B90" s="29" t="s">
        <v>260</v>
      </c>
      <c r="C90" s="29" t="s">
        <v>273</v>
      </c>
      <c r="D90" s="29" t="s">
        <v>252</v>
      </c>
      <c r="E90" s="29" t="s">
        <v>5</v>
      </c>
      <c r="F90" s="29" t="s">
        <v>245</v>
      </c>
      <c r="G90" s="29" t="s">
        <v>266</v>
      </c>
      <c r="H90" s="32">
        <v>3</v>
      </c>
      <c r="I90" s="32">
        <v>2488.34</v>
      </c>
      <c r="J90" s="32">
        <v>7465.02</v>
      </c>
      <c r="K90" s="29"/>
      <c r="M90" s="29"/>
      <c r="N90" s="29"/>
      <c r="P90" s="29"/>
      <c r="Q90" s="29"/>
      <c r="S90" s="29"/>
      <c r="T90" s="29"/>
      <c r="V90" s="29"/>
      <c r="X90" s="29"/>
      <c r="Y90" s="29"/>
      <c r="Z90" s="29"/>
    </row>
    <row r="91" spans="1:26" ht="15" thickBot="1">
      <c r="A91" s="32" t="s">
        <v>328</v>
      </c>
      <c r="B91" s="29" t="s">
        <v>240</v>
      </c>
      <c r="C91" s="29" t="s">
        <v>236</v>
      </c>
      <c r="D91" s="29" t="s">
        <v>237</v>
      </c>
      <c r="E91" s="29" t="s">
        <v>8</v>
      </c>
      <c r="F91" s="29" t="s">
        <v>233</v>
      </c>
      <c r="G91" s="29" t="s">
        <v>301</v>
      </c>
      <c r="H91" s="32">
        <v>8</v>
      </c>
      <c r="I91" s="32">
        <v>1990</v>
      </c>
      <c r="J91" s="32">
        <v>15920</v>
      </c>
      <c r="K91" s="29"/>
      <c r="M91" s="29"/>
      <c r="N91" s="29"/>
      <c r="P91" s="29"/>
      <c r="Q91" s="29"/>
      <c r="S91" s="29"/>
      <c r="T91" s="29"/>
      <c r="V91" s="29"/>
      <c r="X91" s="29"/>
      <c r="Y91" s="29"/>
      <c r="Z91" s="29"/>
    </row>
    <row r="92" spans="1:26" ht="15" thickBot="1">
      <c r="A92" s="32" t="s">
        <v>332</v>
      </c>
      <c r="B92" s="29" t="s">
        <v>257</v>
      </c>
      <c r="C92" s="29" t="s">
        <v>316</v>
      </c>
      <c r="D92" s="29" t="s">
        <v>247</v>
      </c>
      <c r="E92" s="29" t="s">
        <v>6</v>
      </c>
      <c r="F92" s="29" t="s">
        <v>259</v>
      </c>
      <c r="G92" s="29" t="s">
        <v>298</v>
      </c>
      <c r="H92" s="32">
        <v>20</v>
      </c>
      <c r="I92" s="32">
        <v>2446.21</v>
      </c>
      <c r="J92" s="32">
        <v>48924.2</v>
      </c>
      <c r="K92" s="29"/>
      <c r="M92" s="29"/>
      <c r="N92" s="29"/>
      <c r="P92" s="29"/>
      <c r="Q92" s="29"/>
      <c r="S92" s="29"/>
      <c r="T92" s="29"/>
      <c r="V92" s="29"/>
      <c r="X92" s="29"/>
      <c r="Y92" s="29"/>
      <c r="Z92" s="29"/>
    </row>
    <row r="93" spans="1:26" ht="15" thickBot="1">
      <c r="A93" s="32" t="s">
        <v>333</v>
      </c>
      <c r="B93" s="29" t="s">
        <v>248</v>
      </c>
      <c r="C93" s="29" t="s">
        <v>283</v>
      </c>
      <c r="D93" s="29" t="s">
        <v>242</v>
      </c>
      <c r="E93" s="29" t="s">
        <v>8</v>
      </c>
      <c r="F93" s="29" t="s">
        <v>238</v>
      </c>
      <c r="G93" s="29" t="s">
        <v>303</v>
      </c>
      <c r="H93" s="32">
        <v>11</v>
      </c>
      <c r="I93" s="32">
        <v>1841.84</v>
      </c>
      <c r="J93" s="32">
        <v>20260.240000000002</v>
      </c>
      <c r="K93" s="29"/>
      <c r="M93" s="29"/>
      <c r="N93" s="29"/>
      <c r="P93" s="29"/>
      <c r="Q93" s="29"/>
      <c r="S93" s="29"/>
      <c r="T93" s="29"/>
      <c r="V93" s="29"/>
      <c r="X93" s="29"/>
      <c r="Y93" s="29"/>
      <c r="Z93" s="29"/>
    </row>
    <row r="94" spans="1:26" ht="15" thickBot="1">
      <c r="A94" s="49">
        <v>44938</v>
      </c>
      <c r="B94" s="29" t="s">
        <v>257</v>
      </c>
      <c r="C94" s="29" t="s">
        <v>313</v>
      </c>
      <c r="D94" s="29" t="s">
        <v>252</v>
      </c>
      <c r="E94" s="29" t="s">
        <v>5</v>
      </c>
      <c r="F94" s="29" t="s">
        <v>259</v>
      </c>
      <c r="G94" s="29" t="s">
        <v>179</v>
      </c>
      <c r="H94" s="32">
        <v>5</v>
      </c>
      <c r="I94" s="32">
        <v>3289.83</v>
      </c>
      <c r="J94" s="32">
        <v>16449.150000000001</v>
      </c>
      <c r="K94" s="29"/>
      <c r="M94" s="29"/>
      <c r="N94" s="29"/>
      <c r="P94" s="29"/>
      <c r="Q94" s="29"/>
      <c r="S94" s="29"/>
      <c r="T94" s="29"/>
      <c r="V94" s="29"/>
      <c r="X94" s="29"/>
      <c r="Y94" s="29"/>
      <c r="Z94" s="29"/>
    </row>
    <row r="95" spans="1:26" ht="15" thickBot="1">
      <c r="A95" s="32" t="s">
        <v>334</v>
      </c>
      <c r="B95" s="29" t="s">
        <v>260</v>
      </c>
      <c r="C95" s="29" t="s">
        <v>249</v>
      </c>
      <c r="D95" s="29" t="s">
        <v>232</v>
      </c>
      <c r="E95" s="29" t="s">
        <v>6</v>
      </c>
      <c r="F95" s="29" t="s">
        <v>250</v>
      </c>
      <c r="G95" s="29" t="s">
        <v>284</v>
      </c>
      <c r="H95" s="32">
        <v>6</v>
      </c>
      <c r="I95" s="32">
        <v>549.79999999999995</v>
      </c>
      <c r="J95" s="32">
        <v>3298.8</v>
      </c>
      <c r="K95" s="29"/>
      <c r="M95" s="29"/>
      <c r="N95" s="29"/>
      <c r="P95" s="29"/>
      <c r="Q95" s="29"/>
      <c r="S95" s="29"/>
      <c r="T95" s="29"/>
      <c r="V95" s="29"/>
      <c r="X95" s="29"/>
      <c r="Y95" s="29"/>
      <c r="Z95" s="29"/>
    </row>
    <row r="96" spans="1:26" ht="15" thickBot="1">
      <c r="A96" s="49">
        <v>44987</v>
      </c>
      <c r="B96" s="29" t="s">
        <v>268</v>
      </c>
      <c r="C96" s="29" t="s">
        <v>244</v>
      </c>
      <c r="D96" s="29" t="s">
        <v>237</v>
      </c>
      <c r="E96" s="29" t="s">
        <v>8</v>
      </c>
      <c r="F96" s="29" t="s">
        <v>259</v>
      </c>
      <c r="G96" s="29" t="s">
        <v>179</v>
      </c>
      <c r="H96" s="32">
        <v>20</v>
      </c>
      <c r="I96" s="32">
        <v>4397.46</v>
      </c>
      <c r="J96" s="32">
        <v>87949.2</v>
      </c>
      <c r="K96" s="29"/>
      <c r="M96" s="29"/>
      <c r="N96" s="29"/>
      <c r="P96" s="29"/>
      <c r="Q96" s="29"/>
      <c r="S96" s="29"/>
      <c r="T96" s="29"/>
      <c r="V96" s="29"/>
      <c r="X96" s="29"/>
      <c r="Y96" s="29"/>
      <c r="Z96" s="29"/>
    </row>
    <row r="97" spans="1:26" ht="15" thickBot="1">
      <c r="A97" s="49">
        <v>45235</v>
      </c>
      <c r="B97" s="29" t="s">
        <v>260</v>
      </c>
      <c r="C97" s="29" t="s">
        <v>241</v>
      </c>
      <c r="D97" s="29" t="s">
        <v>242</v>
      </c>
      <c r="E97" s="29" t="s">
        <v>8</v>
      </c>
      <c r="F97" s="29" t="s">
        <v>250</v>
      </c>
      <c r="G97" s="29" t="s">
        <v>251</v>
      </c>
      <c r="H97" s="32">
        <v>3</v>
      </c>
      <c r="I97" s="32">
        <v>3107.88</v>
      </c>
      <c r="J97" s="32">
        <v>9323.64</v>
      </c>
      <c r="K97" s="29"/>
      <c r="M97" s="29"/>
      <c r="N97" s="29"/>
      <c r="P97" s="29"/>
      <c r="Q97" s="29"/>
      <c r="S97" s="29"/>
      <c r="T97" s="29"/>
      <c r="V97" s="29"/>
      <c r="X97" s="29"/>
      <c r="Y97" s="29"/>
      <c r="Z97" s="29"/>
    </row>
    <row r="98" spans="1:26" ht="15" thickBot="1">
      <c r="A98" s="32" t="s">
        <v>314</v>
      </c>
      <c r="B98" s="29" t="s">
        <v>230</v>
      </c>
      <c r="C98" s="29" t="s">
        <v>276</v>
      </c>
      <c r="D98" s="29" t="s">
        <v>247</v>
      </c>
      <c r="E98" s="29" t="s">
        <v>6</v>
      </c>
      <c r="F98" s="29" t="s">
        <v>233</v>
      </c>
      <c r="G98" s="29" t="s">
        <v>304</v>
      </c>
      <c r="H98" s="32">
        <v>11</v>
      </c>
      <c r="I98" s="32">
        <v>1451.86</v>
      </c>
      <c r="J98" s="32">
        <v>15970.46</v>
      </c>
      <c r="K98" s="29"/>
      <c r="M98" s="29"/>
      <c r="N98" s="29"/>
      <c r="P98" s="29"/>
      <c r="Q98" s="29"/>
      <c r="S98" s="29"/>
      <c r="T98" s="29"/>
      <c r="V98" s="29"/>
      <c r="X98" s="29"/>
      <c r="Y98" s="29"/>
      <c r="Z98" s="29"/>
    </row>
    <row r="99" spans="1:26" ht="15" thickBot="1">
      <c r="A99" s="49">
        <v>44992</v>
      </c>
      <c r="B99" s="29" t="s">
        <v>260</v>
      </c>
      <c r="C99" s="29" t="s">
        <v>236</v>
      </c>
      <c r="D99" s="29" t="s">
        <v>237</v>
      </c>
      <c r="E99" s="29" t="s">
        <v>8</v>
      </c>
      <c r="F99" s="29" t="s">
        <v>250</v>
      </c>
      <c r="G99" s="29" t="s">
        <v>293</v>
      </c>
      <c r="H99" s="32">
        <v>13</v>
      </c>
      <c r="I99" s="32">
        <v>4087.03</v>
      </c>
      <c r="J99" s="32">
        <v>53131.39</v>
      </c>
      <c r="K99" s="29"/>
      <c r="M99" s="29"/>
      <c r="N99" s="29"/>
      <c r="P99" s="29"/>
      <c r="Q99" s="29"/>
      <c r="S99" s="29"/>
      <c r="T99" s="29"/>
      <c r="V99" s="29"/>
      <c r="X99" s="29"/>
      <c r="Y99" s="29"/>
      <c r="Z99" s="29"/>
    </row>
    <row r="100" spans="1:26" ht="15" thickBot="1">
      <c r="A100" s="49">
        <v>44966</v>
      </c>
      <c r="B100" s="29" t="s">
        <v>230</v>
      </c>
      <c r="C100" s="29" t="s">
        <v>273</v>
      </c>
      <c r="D100" s="29" t="s">
        <v>252</v>
      </c>
      <c r="E100" s="29" t="s">
        <v>5</v>
      </c>
      <c r="F100" s="29" t="s">
        <v>238</v>
      </c>
      <c r="G100" s="29" t="s">
        <v>239</v>
      </c>
      <c r="H100" s="32">
        <v>12</v>
      </c>
      <c r="I100" s="32">
        <v>3040.08</v>
      </c>
      <c r="J100" s="32">
        <v>36480.959999999999</v>
      </c>
      <c r="K100" s="29"/>
      <c r="M100" s="29"/>
      <c r="N100" s="29"/>
      <c r="P100" s="29"/>
      <c r="Q100" s="29"/>
      <c r="S100" s="29"/>
      <c r="T100" s="29"/>
      <c r="V100" s="29"/>
      <c r="X100" s="29"/>
      <c r="Y100" s="29"/>
      <c r="Z100" s="29"/>
    </row>
    <row r="101" spans="1:26" ht="15" thickBot="1">
      <c r="A101" s="32" t="s">
        <v>325</v>
      </c>
      <c r="B101" s="29" t="s">
        <v>257</v>
      </c>
      <c r="C101" s="29" t="s">
        <v>313</v>
      </c>
      <c r="D101" s="29" t="s">
        <v>252</v>
      </c>
      <c r="E101" s="29" t="s">
        <v>5</v>
      </c>
      <c r="F101" s="29" t="s">
        <v>250</v>
      </c>
      <c r="G101" s="29" t="s">
        <v>284</v>
      </c>
      <c r="H101" s="32">
        <v>19</v>
      </c>
      <c r="I101" s="32">
        <v>3968.42</v>
      </c>
      <c r="J101" s="32">
        <v>75399.98</v>
      </c>
      <c r="K101" s="29"/>
      <c r="M101" s="29"/>
      <c r="N101" s="29"/>
      <c r="P101" s="29"/>
      <c r="Q101" s="29"/>
      <c r="S101" s="29"/>
      <c r="T101" s="29"/>
      <c r="V101" s="29"/>
      <c r="X101" s="29"/>
      <c r="Y101" s="29"/>
      <c r="Z101" s="29"/>
    </row>
    <row r="102" spans="1:26" ht="15" thickBot="1">
      <c r="A102" s="32" t="s">
        <v>335</v>
      </c>
      <c r="B102" s="29" t="s">
        <v>280</v>
      </c>
      <c r="C102" s="29" t="s">
        <v>258</v>
      </c>
      <c r="D102" s="29" t="s">
        <v>242</v>
      </c>
      <c r="E102" s="29" t="s">
        <v>8</v>
      </c>
      <c r="F102" s="29" t="s">
        <v>259</v>
      </c>
      <c r="G102" s="29" t="s">
        <v>182</v>
      </c>
      <c r="H102" s="32">
        <v>4</v>
      </c>
      <c r="I102" s="32">
        <v>894.64</v>
      </c>
      <c r="J102" s="32">
        <v>3578.56</v>
      </c>
      <c r="K102" s="29"/>
      <c r="M102" s="29"/>
      <c r="N102" s="29"/>
      <c r="P102" s="29"/>
      <c r="Q102" s="29"/>
      <c r="S102" s="29"/>
      <c r="T102" s="29"/>
      <c r="V102" s="29"/>
      <c r="X102" s="29"/>
      <c r="Y102" s="29"/>
      <c r="Z102" s="29"/>
    </row>
    <row r="103" spans="1:26" ht="15" thickBot="1">
      <c r="A103" s="49">
        <v>44996</v>
      </c>
      <c r="B103" s="29" t="s">
        <v>260</v>
      </c>
      <c r="C103" s="29" t="s">
        <v>258</v>
      </c>
      <c r="D103" s="29" t="s">
        <v>242</v>
      </c>
      <c r="E103" s="29" t="s">
        <v>8</v>
      </c>
      <c r="F103" s="29" t="s">
        <v>250</v>
      </c>
      <c r="G103" s="29" t="s">
        <v>293</v>
      </c>
      <c r="H103" s="32">
        <v>20</v>
      </c>
      <c r="I103" s="32">
        <v>1787.99</v>
      </c>
      <c r="J103" s="32">
        <v>35759.800000000003</v>
      </c>
      <c r="K103" s="29"/>
      <c r="M103" s="29"/>
      <c r="N103" s="29"/>
      <c r="P103" s="29"/>
      <c r="Q103" s="29"/>
      <c r="S103" s="29"/>
      <c r="T103" s="29"/>
      <c r="V103" s="29"/>
      <c r="X103" s="29"/>
      <c r="Y103" s="29"/>
      <c r="Z103" s="29"/>
    </row>
    <row r="104" spans="1:26" ht="15" thickBot="1">
      <c r="A104" s="32" t="s">
        <v>336</v>
      </c>
      <c r="B104" s="29" t="s">
        <v>230</v>
      </c>
      <c r="C104" s="29" t="s">
        <v>249</v>
      </c>
      <c r="D104" s="29" t="s">
        <v>232</v>
      </c>
      <c r="E104" s="29" t="s">
        <v>6</v>
      </c>
      <c r="F104" s="29" t="s">
        <v>233</v>
      </c>
      <c r="G104" s="29" t="s">
        <v>287</v>
      </c>
      <c r="H104" s="32">
        <v>17</v>
      </c>
      <c r="I104" s="32">
        <v>2910.12</v>
      </c>
      <c r="J104" s="32">
        <v>49472.04</v>
      </c>
      <c r="K104" s="29"/>
      <c r="M104" s="29"/>
      <c r="N104" s="29"/>
      <c r="P104" s="29"/>
      <c r="Q104" s="29"/>
      <c r="S104" s="29"/>
      <c r="T104" s="29"/>
      <c r="V104" s="29"/>
      <c r="X104" s="29"/>
      <c r="Y104" s="29"/>
      <c r="Z104" s="29"/>
    </row>
    <row r="105" spans="1:26" ht="15" thickBot="1">
      <c r="A105" s="49">
        <v>44987</v>
      </c>
      <c r="B105" s="29" t="s">
        <v>280</v>
      </c>
      <c r="C105" s="29" t="s">
        <v>236</v>
      </c>
      <c r="D105" s="29" t="s">
        <v>237</v>
      </c>
      <c r="E105" s="29" t="s">
        <v>8</v>
      </c>
      <c r="F105" s="29" t="s">
        <v>250</v>
      </c>
      <c r="G105" s="29" t="s">
        <v>251</v>
      </c>
      <c r="H105" s="32">
        <v>16</v>
      </c>
      <c r="I105" s="32">
        <v>827.8</v>
      </c>
      <c r="J105" s="32">
        <v>13244.8</v>
      </c>
      <c r="K105" s="29"/>
      <c r="M105" s="29"/>
      <c r="N105" s="29"/>
      <c r="P105" s="29"/>
      <c r="Q105" s="29"/>
      <c r="S105" s="29"/>
      <c r="T105" s="29"/>
      <c r="V105" s="29"/>
      <c r="X105" s="29"/>
      <c r="Y105" s="29"/>
      <c r="Z105" s="29"/>
    </row>
    <row r="106" spans="1:26" ht="15" thickBot="1">
      <c r="A106" s="49">
        <v>45174</v>
      </c>
      <c r="B106" s="29" t="s">
        <v>240</v>
      </c>
      <c r="C106" s="29" t="s">
        <v>273</v>
      </c>
      <c r="D106" s="29" t="s">
        <v>252</v>
      </c>
      <c r="E106" s="29" t="s">
        <v>5</v>
      </c>
      <c r="F106" s="29" t="s">
        <v>238</v>
      </c>
      <c r="G106" s="29" t="s">
        <v>256</v>
      </c>
      <c r="H106" s="32">
        <v>18</v>
      </c>
      <c r="I106" s="32">
        <v>3093.44</v>
      </c>
      <c r="J106" s="32">
        <v>55681.919999999998</v>
      </c>
      <c r="K106" s="29"/>
      <c r="M106" s="29"/>
      <c r="N106" s="29"/>
      <c r="P106" s="29"/>
      <c r="Q106" s="29"/>
      <c r="S106" s="29"/>
      <c r="T106" s="29"/>
      <c r="V106" s="29"/>
      <c r="X106" s="29"/>
      <c r="Y106" s="29"/>
      <c r="Z106" s="29"/>
    </row>
    <row r="107" spans="1:26" ht="15" thickBot="1">
      <c r="A107" s="32" t="s">
        <v>337</v>
      </c>
      <c r="B107" s="29" t="s">
        <v>260</v>
      </c>
      <c r="C107" s="29" t="s">
        <v>255</v>
      </c>
      <c r="D107" s="29" t="s">
        <v>237</v>
      </c>
      <c r="E107" s="29" t="s">
        <v>8</v>
      </c>
      <c r="F107" s="29" t="s">
        <v>245</v>
      </c>
      <c r="G107" s="29" t="s">
        <v>269</v>
      </c>
      <c r="H107" s="32">
        <v>10</v>
      </c>
      <c r="I107" s="32">
        <v>2469.04</v>
      </c>
      <c r="J107" s="32">
        <v>24690.400000000001</v>
      </c>
      <c r="K107" s="29"/>
      <c r="M107" s="29"/>
      <c r="N107" s="29"/>
      <c r="P107" s="29"/>
      <c r="Q107" s="29"/>
      <c r="S107" s="29"/>
      <c r="T107" s="29"/>
      <c r="V107" s="29"/>
      <c r="X107" s="29"/>
      <c r="Y107" s="29"/>
      <c r="Z107" s="29"/>
    </row>
    <row r="108" spans="1:26" ht="15" thickBot="1">
      <c r="A108" s="32" t="s">
        <v>338</v>
      </c>
      <c r="B108" s="29" t="s">
        <v>240</v>
      </c>
      <c r="C108" s="29" t="s">
        <v>255</v>
      </c>
      <c r="D108" s="29" t="s">
        <v>237</v>
      </c>
      <c r="E108" s="29" t="s">
        <v>8</v>
      </c>
      <c r="F108" s="29" t="s">
        <v>238</v>
      </c>
      <c r="G108" s="29" t="s">
        <v>239</v>
      </c>
      <c r="H108" s="32">
        <v>12</v>
      </c>
      <c r="I108" s="32">
        <v>2127.2800000000002</v>
      </c>
      <c r="J108" s="32">
        <v>25527.360000000001</v>
      </c>
      <c r="K108" s="29"/>
      <c r="M108" s="29"/>
      <c r="N108" s="29"/>
      <c r="P108" s="29"/>
      <c r="Q108" s="29"/>
      <c r="S108" s="29"/>
      <c r="T108" s="29"/>
      <c r="V108" s="29"/>
      <c r="X108" s="29"/>
      <c r="Y108" s="29"/>
      <c r="Z108" s="29"/>
    </row>
    <row r="109" spans="1:26" ht="15" thickBot="1">
      <c r="A109" s="32" t="s">
        <v>339</v>
      </c>
      <c r="B109" s="29" t="s">
        <v>257</v>
      </c>
      <c r="C109" s="29" t="s">
        <v>255</v>
      </c>
      <c r="D109" s="29" t="s">
        <v>237</v>
      </c>
      <c r="E109" s="29" t="s">
        <v>8</v>
      </c>
      <c r="F109" s="29" t="s">
        <v>259</v>
      </c>
      <c r="G109" s="29" t="s">
        <v>182</v>
      </c>
      <c r="H109" s="32">
        <v>1</v>
      </c>
      <c r="I109" s="32">
        <v>1811.76</v>
      </c>
      <c r="J109" s="32">
        <v>1811.76</v>
      </c>
      <c r="K109" s="29"/>
      <c r="M109" s="29"/>
      <c r="N109" s="29"/>
      <c r="P109" s="29"/>
      <c r="Q109" s="29"/>
      <c r="S109" s="29"/>
      <c r="T109" s="29"/>
      <c r="V109" s="29"/>
      <c r="X109" s="29"/>
      <c r="Y109" s="29"/>
      <c r="Z109" s="29"/>
    </row>
    <row r="110" spans="1:26" ht="15" thickBot="1">
      <c r="A110" s="32" t="s">
        <v>340</v>
      </c>
      <c r="B110" s="29" t="s">
        <v>271</v>
      </c>
      <c r="C110" s="29" t="s">
        <v>283</v>
      </c>
      <c r="D110" s="29" t="s">
        <v>242</v>
      </c>
      <c r="E110" s="29" t="s">
        <v>8</v>
      </c>
      <c r="F110" s="29" t="s">
        <v>233</v>
      </c>
      <c r="G110" s="29" t="s">
        <v>287</v>
      </c>
      <c r="H110" s="32">
        <v>4</v>
      </c>
      <c r="I110" s="32">
        <v>4485.82</v>
      </c>
      <c r="J110" s="32">
        <v>17943.28</v>
      </c>
      <c r="K110" s="29"/>
      <c r="M110" s="29"/>
      <c r="N110" s="29"/>
      <c r="P110" s="29"/>
      <c r="Q110" s="29"/>
      <c r="S110" s="29"/>
      <c r="T110" s="29"/>
      <c r="V110" s="29"/>
      <c r="X110" s="29"/>
      <c r="Y110" s="29"/>
      <c r="Z110" s="29"/>
    </row>
    <row r="111" spans="1:26" ht="15" thickBot="1">
      <c r="A111" s="49">
        <v>44994</v>
      </c>
      <c r="B111" s="29" t="s">
        <v>271</v>
      </c>
      <c r="C111" s="29" t="s">
        <v>258</v>
      </c>
      <c r="D111" s="29" t="s">
        <v>242</v>
      </c>
      <c r="E111" s="29" t="s">
        <v>8</v>
      </c>
      <c r="F111" s="29" t="s">
        <v>259</v>
      </c>
      <c r="G111" s="29" t="s">
        <v>182</v>
      </c>
      <c r="H111" s="32">
        <v>8</v>
      </c>
      <c r="I111" s="32">
        <v>4649.3500000000004</v>
      </c>
      <c r="J111" s="32">
        <v>37194.800000000003</v>
      </c>
      <c r="K111" s="29"/>
      <c r="M111" s="29"/>
      <c r="N111" s="29"/>
      <c r="P111" s="29"/>
      <c r="Q111" s="29"/>
      <c r="S111" s="29"/>
      <c r="T111" s="29"/>
      <c r="V111" s="29"/>
      <c r="X111" s="29"/>
      <c r="Y111" s="29"/>
      <c r="Z111" s="29"/>
    </row>
    <row r="112" spans="1:26" ht="15" thickBot="1">
      <c r="A112" s="32" t="s">
        <v>341</v>
      </c>
      <c r="B112" s="29" t="s">
        <v>235</v>
      </c>
      <c r="C112" s="29" t="s">
        <v>244</v>
      </c>
      <c r="D112" s="29" t="s">
        <v>237</v>
      </c>
      <c r="E112" s="29" t="s">
        <v>8</v>
      </c>
      <c r="F112" s="29" t="s">
        <v>233</v>
      </c>
      <c r="G112" s="29" t="s">
        <v>304</v>
      </c>
      <c r="H112" s="32">
        <v>3</v>
      </c>
      <c r="I112" s="32">
        <v>4027.17</v>
      </c>
      <c r="J112" s="32">
        <v>12081.51</v>
      </c>
      <c r="K112" s="29"/>
      <c r="M112" s="29"/>
      <c r="N112" s="29"/>
      <c r="P112" s="29"/>
      <c r="Q112" s="29"/>
      <c r="S112" s="29"/>
      <c r="T112" s="29"/>
      <c r="V112" s="29"/>
      <c r="X112" s="29"/>
      <c r="Y112" s="29"/>
      <c r="Z112" s="29"/>
    </row>
    <row r="113" spans="1:26" ht="15" thickBot="1">
      <c r="A113" s="32" t="s">
        <v>342</v>
      </c>
      <c r="B113" s="29" t="s">
        <v>271</v>
      </c>
      <c r="C113" s="29" t="s">
        <v>313</v>
      </c>
      <c r="D113" s="29" t="s">
        <v>252</v>
      </c>
      <c r="E113" s="29" t="s">
        <v>5</v>
      </c>
      <c r="F113" s="29" t="s">
        <v>259</v>
      </c>
      <c r="G113" s="29" t="s">
        <v>298</v>
      </c>
      <c r="H113" s="32">
        <v>14</v>
      </c>
      <c r="I113" s="32">
        <v>4406.29</v>
      </c>
      <c r="J113" s="32">
        <v>61688.06</v>
      </c>
      <c r="K113" s="29"/>
      <c r="M113" s="29"/>
      <c r="N113" s="29"/>
      <c r="P113" s="29"/>
      <c r="Q113" s="29"/>
      <c r="S113" s="29"/>
      <c r="T113" s="29"/>
      <c r="V113" s="29"/>
      <c r="X113" s="29"/>
      <c r="Y113" s="29"/>
      <c r="Z113" s="29"/>
    </row>
    <row r="114" spans="1:26" ht="15" thickBot="1">
      <c r="A114" s="32" t="s">
        <v>343</v>
      </c>
      <c r="B114" s="29" t="s">
        <v>235</v>
      </c>
      <c r="C114" s="29" t="s">
        <v>255</v>
      </c>
      <c r="D114" s="29" t="s">
        <v>237</v>
      </c>
      <c r="E114" s="29" t="s">
        <v>8</v>
      </c>
      <c r="F114" s="29" t="s">
        <v>250</v>
      </c>
      <c r="G114" s="29" t="s">
        <v>284</v>
      </c>
      <c r="H114" s="32">
        <v>20</v>
      </c>
      <c r="I114" s="32">
        <v>4072.4</v>
      </c>
      <c r="J114" s="32">
        <v>81448</v>
      </c>
      <c r="K114" s="29"/>
      <c r="M114" s="29"/>
      <c r="N114" s="29"/>
      <c r="P114" s="29"/>
      <c r="Q114" s="29"/>
      <c r="S114" s="29"/>
      <c r="T114" s="29"/>
      <c r="V114" s="29"/>
      <c r="X114" s="29"/>
      <c r="Y114" s="29"/>
      <c r="Z114" s="29"/>
    </row>
    <row r="115" spans="1:26" ht="15" thickBot="1">
      <c r="A115" s="32" t="s">
        <v>344</v>
      </c>
      <c r="B115" s="29" t="s">
        <v>254</v>
      </c>
      <c r="C115" s="29" t="s">
        <v>313</v>
      </c>
      <c r="D115" s="29" t="s">
        <v>252</v>
      </c>
      <c r="E115" s="29" t="s">
        <v>5</v>
      </c>
      <c r="F115" s="29" t="s">
        <v>250</v>
      </c>
      <c r="G115" s="29" t="s">
        <v>293</v>
      </c>
      <c r="H115" s="32">
        <v>1</v>
      </c>
      <c r="I115" s="32">
        <v>4801.38</v>
      </c>
      <c r="J115" s="32">
        <v>4801.38</v>
      </c>
      <c r="K115" s="29"/>
      <c r="M115" s="29"/>
      <c r="N115" s="29"/>
      <c r="P115" s="29"/>
      <c r="Q115" s="29"/>
      <c r="S115" s="29"/>
      <c r="T115" s="29"/>
      <c r="V115" s="29"/>
      <c r="X115" s="29"/>
      <c r="Y115" s="29"/>
      <c r="Z115" s="29"/>
    </row>
    <row r="116" spans="1:26" ht="15" thickBot="1">
      <c r="A116" s="49">
        <v>45078</v>
      </c>
      <c r="B116" s="29" t="s">
        <v>260</v>
      </c>
      <c r="C116" s="29" t="s">
        <v>241</v>
      </c>
      <c r="D116" s="29" t="s">
        <v>242</v>
      </c>
      <c r="E116" s="29" t="s">
        <v>8</v>
      </c>
      <c r="F116" s="29" t="s">
        <v>245</v>
      </c>
      <c r="G116" s="29" t="s">
        <v>269</v>
      </c>
      <c r="H116" s="32">
        <v>17</v>
      </c>
      <c r="I116" s="32">
        <v>828.26</v>
      </c>
      <c r="J116" s="32">
        <v>14080.42</v>
      </c>
      <c r="K116" s="29"/>
      <c r="M116" s="29"/>
      <c r="N116" s="29"/>
      <c r="P116" s="29"/>
      <c r="Q116" s="29"/>
      <c r="S116" s="29"/>
      <c r="T116" s="29"/>
      <c r="V116" s="29"/>
      <c r="X116" s="29"/>
      <c r="Y116" s="29"/>
      <c r="Z116" s="29"/>
    </row>
    <row r="117" spans="1:26" ht="15" thickBot="1">
      <c r="A117" s="49">
        <v>45170</v>
      </c>
      <c r="B117" s="29" t="s">
        <v>248</v>
      </c>
      <c r="C117" s="29" t="s">
        <v>276</v>
      </c>
      <c r="D117" s="29" t="s">
        <v>247</v>
      </c>
      <c r="E117" s="29" t="s">
        <v>6</v>
      </c>
      <c r="F117" s="29" t="s">
        <v>250</v>
      </c>
      <c r="G117" s="29" t="s">
        <v>284</v>
      </c>
      <c r="H117" s="32">
        <v>13</v>
      </c>
      <c r="I117" s="32">
        <v>4331.5</v>
      </c>
      <c r="J117" s="32">
        <v>56309.5</v>
      </c>
      <c r="K117" s="29"/>
      <c r="M117" s="29"/>
      <c r="N117" s="29"/>
      <c r="P117" s="29"/>
      <c r="Q117" s="29"/>
      <c r="S117" s="29"/>
      <c r="T117" s="29"/>
      <c r="V117" s="29"/>
      <c r="X117" s="29"/>
      <c r="Y117" s="29"/>
      <c r="Z117" s="29"/>
    </row>
    <row r="118" spans="1:26" ht="15" thickBot="1">
      <c r="A118" s="49">
        <v>44994</v>
      </c>
      <c r="B118" s="29" t="s">
        <v>254</v>
      </c>
      <c r="C118" s="29" t="s">
        <v>274</v>
      </c>
      <c r="D118" s="29" t="s">
        <v>232</v>
      </c>
      <c r="E118" s="29" t="s">
        <v>6</v>
      </c>
      <c r="F118" s="29" t="s">
        <v>245</v>
      </c>
      <c r="G118" s="29" t="s">
        <v>269</v>
      </c>
      <c r="H118" s="32">
        <v>14</v>
      </c>
      <c r="I118" s="32">
        <v>3404.4</v>
      </c>
      <c r="J118" s="32">
        <v>47661.599999999999</v>
      </c>
      <c r="K118" s="29"/>
      <c r="M118" s="29"/>
      <c r="N118" s="29"/>
      <c r="P118" s="29"/>
      <c r="Q118" s="29"/>
      <c r="S118" s="29"/>
      <c r="T118" s="29"/>
      <c r="V118" s="29"/>
      <c r="X118" s="29"/>
      <c r="Y118" s="29"/>
      <c r="Z118" s="29"/>
    </row>
    <row r="119" spans="1:26" ht="15" thickBot="1">
      <c r="A119" s="32" t="s">
        <v>345</v>
      </c>
      <c r="B119" s="29" t="s">
        <v>271</v>
      </c>
      <c r="C119" s="29" t="s">
        <v>231</v>
      </c>
      <c r="D119" s="29" t="s">
        <v>232</v>
      </c>
      <c r="E119" s="29" t="s">
        <v>6</v>
      </c>
      <c r="F119" s="29" t="s">
        <v>233</v>
      </c>
      <c r="G119" s="29" t="s">
        <v>304</v>
      </c>
      <c r="H119" s="32">
        <v>20</v>
      </c>
      <c r="I119" s="32">
        <v>3734.44</v>
      </c>
      <c r="J119" s="32">
        <v>74688.800000000003</v>
      </c>
      <c r="K119" s="29"/>
      <c r="M119" s="29"/>
      <c r="N119" s="29"/>
      <c r="P119" s="29"/>
      <c r="Q119" s="29"/>
      <c r="S119" s="29"/>
      <c r="T119" s="29"/>
      <c r="V119" s="29"/>
      <c r="X119" s="29"/>
      <c r="Y119" s="29"/>
      <c r="Z119" s="29"/>
    </row>
    <row r="120" spans="1:26" ht="15" thickBot="1">
      <c r="A120" s="32" t="s">
        <v>346</v>
      </c>
      <c r="B120" s="29" t="s">
        <v>280</v>
      </c>
      <c r="C120" s="29" t="s">
        <v>231</v>
      </c>
      <c r="D120" s="29" t="s">
        <v>232</v>
      </c>
      <c r="E120" s="29" t="s">
        <v>6</v>
      </c>
      <c r="F120" s="29" t="s">
        <v>233</v>
      </c>
      <c r="G120" s="29" t="s">
        <v>287</v>
      </c>
      <c r="H120" s="32">
        <v>6</v>
      </c>
      <c r="I120" s="32">
        <v>112.76</v>
      </c>
      <c r="J120" s="32">
        <v>676.56</v>
      </c>
      <c r="K120" s="29"/>
      <c r="M120" s="29"/>
      <c r="N120" s="29"/>
      <c r="P120" s="29"/>
      <c r="Q120" s="29"/>
      <c r="S120" s="29"/>
      <c r="T120" s="29"/>
      <c r="V120" s="29"/>
      <c r="X120" s="29"/>
      <c r="Y120" s="29"/>
      <c r="Z120" s="29"/>
    </row>
    <row r="121" spans="1:26" ht="15" thickBot="1">
      <c r="A121" s="32" t="s">
        <v>347</v>
      </c>
      <c r="B121" s="29" t="s">
        <v>280</v>
      </c>
      <c r="C121" s="29" t="s">
        <v>281</v>
      </c>
      <c r="D121" s="29" t="s">
        <v>252</v>
      </c>
      <c r="E121" s="29" t="s">
        <v>5</v>
      </c>
      <c r="F121" s="29" t="s">
        <v>259</v>
      </c>
      <c r="G121" s="29" t="s">
        <v>179</v>
      </c>
      <c r="H121" s="32">
        <v>6</v>
      </c>
      <c r="I121" s="32">
        <v>4751.7700000000004</v>
      </c>
      <c r="J121" s="32">
        <v>28510.62</v>
      </c>
      <c r="K121" s="29"/>
      <c r="M121" s="29"/>
      <c r="N121" s="29"/>
      <c r="P121" s="29"/>
      <c r="Q121" s="29"/>
      <c r="S121" s="29"/>
      <c r="T121" s="29"/>
      <c r="V121" s="29"/>
      <c r="X121" s="29"/>
      <c r="Y121" s="29"/>
      <c r="Z121" s="29"/>
    </row>
    <row r="122" spans="1:26" ht="15" thickBot="1">
      <c r="A122" s="49">
        <v>45145</v>
      </c>
      <c r="B122" s="29" t="s">
        <v>240</v>
      </c>
      <c r="C122" s="29" t="s">
        <v>276</v>
      </c>
      <c r="D122" s="29" t="s">
        <v>247</v>
      </c>
      <c r="E122" s="29" t="s">
        <v>6</v>
      </c>
      <c r="F122" s="29" t="s">
        <v>250</v>
      </c>
      <c r="G122" s="29" t="s">
        <v>284</v>
      </c>
      <c r="H122" s="32">
        <v>4</v>
      </c>
      <c r="I122" s="32">
        <v>3214.1</v>
      </c>
      <c r="J122" s="32">
        <v>12856.4</v>
      </c>
      <c r="K122" s="29"/>
      <c r="M122" s="29"/>
      <c r="N122" s="29"/>
      <c r="P122" s="29"/>
      <c r="Q122" s="29"/>
      <c r="S122" s="29"/>
      <c r="T122" s="29"/>
      <c r="V122" s="29"/>
      <c r="X122" s="29"/>
      <c r="Y122" s="29"/>
      <c r="Z122" s="29"/>
    </row>
    <row r="123" spans="1:26" ht="15" thickBot="1">
      <c r="A123" s="32" t="s">
        <v>348</v>
      </c>
      <c r="B123" s="29" t="s">
        <v>230</v>
      </c>
      <c r="C123" s="29" t="s">
        <v>281</v>
      </c>
      <c r="D123" s="29" t="s">
        <v>252</v>
      </c>
      <c r="E123" s="29" t="s">
        <v>5</v>
      </c>
      <c r="F123" s="29" t="s">
        <v>259</v>
      </c>
      <c r="G123" s="29" t="s">
        <v>182</v>
      </c>
      <c r="H123" s="32">
        <v>20</v>
      </c>
      <c r="I123" s="32">
        <v>598.97</v>
      </c>
      <c r="J123" s="32">
        <v>11979.4</v>
      </c>
      <c r="K123" s="29"/>
      <c r="M123" s="29"/>
      <c r="N123" s="29"/>
      <c r="P123" s="29"/>
      <c r="Q123" s="29"/>
      <c r="S123" s="29"/>
      <c r="T123" s="29"/>
      <c r="V123" s="29"/>
      <c r="X123" s="29"/>
      <c r="Y123" s="29"/>
      <c r="Z123" s="29"/>
    </row>
    <row r="124" spans="1:26" ht="15" thickBot="1">
      <c r="A124" s="32" t="s">
        <v>306</v>
      </c>
      <c r="B124" s="29" t="s">
        <v>280</v>
      </c>
      <c r="C124" s="29" t="s">
        <v>231</v>
      </c>
      <c r="D124" s="29" t="s">
        <v>232</v>
      </c>
      <c r="E124" s="29" t="s">
        <v>6</v>
      </c>
      <c r="F124" s="29" t="s">
        <v>233</v>
      </c>
      <c r="G124" s="29" t="s">
        <v>287</v>
      </c>
      <c r="H124" s="32">
        <v>15</v>
      </c>
      <c r="I124" s="32">
        <v>1513.67</v>
      </c>
      <c r="J124" s="32">
        <v>22705.05</v>
      </c>
      <c r="K124" s="29"/>
      <c r="M124" s="29"/>
      <c r="N124" s="29"/>
      <c r="P124" s="29"/>
      <c r="Q124" s="29"/>
      <c r="S124" s="29"/>
      <c r="T124" s="29"/>
      <c r="V124" s="29"/>
      <c r="X124" s="29"/>
      <c r="Y124" s="29"/>
      <c r="Z124" s="29"/>
    </row>
    <row r="125" spans="1:26" ht="15" thickBot="1">
      <c r="A125" s="32" t="s">
        <v>349</v>
      </c>
      <c r="B125" s="29" t="s">
        <v>260</v>
      </c>
      <c r="C125" s="29" t="s">
        <v>316</v>
      </c>
      <c r="D125" s="29" t="s">
        <v>247</v>
      </c>
      <c r="E125" s="29" t="s">
        <v>6</v>
      </c>
      <c r="F125" s="29" t="s">
        <v>245</v>
      </c>
      <c r="G125" s="29" t="s">
        <v>266</v>
      </c>
      <c r="H125" s="32">
        <v>6</v>
      </c>
      <c r="I125" s="32">
        <v>194.62</v>
      </c>
      <c r="J125" s="32">
        <v>1167.72</v>
      </c>
      <c r="K125" s="29"/>
      <c r="M125" s="29"/>
      <c r="N125" s="29"/>
      <c r="P125" s="29"/>
      <c r="Q125" s="29"/>
      <c r="S125" s="29"/>
      <c r="T125" s="29"/>
      <c r="V125" s="29"/>
      <c r="X125" s="29"/>
      <c r="Y125" s="29"/>
      <c r="Z125" s="29"/>
    </row>
    <row r="126" spans="1:26" ht="15" thickBot="1">
      <c r="A126" s="49">
        <v>44938</v>
      </c>
      <c r="B126" s="29" t="s">
        <v>268</v>
      </c>
      <c r="C126" s="29" t="s">
        <v>316</v>
      </c>
      <c r="D126" s="29" t="s">
        <v>247</v>
      </c>
      <c r="E126" s="29" t="s">
        <v>6</v>
      </c>
      <c r="F126" s="29" t="s">
        <v>245</v>
      </c>
      <c r="G126" s="29" t="s">
        <v>266</v>
      </c>
      <c r="H126" s="32">
        <v>6</v>
      </c>
      <c r="I126" s="32">
        <v>4508.3</v>
      </c>
      <c r="J126" s="32">
        <v>27049.8</v>
      </c>
      <c r="K126" s="29"/>
      <c r="M126" s="29"/>
      <c r="N126" s="29"/>
      <c r="P126" s="29"/>
      <c r="Q126" s="29"/>
      <c r="S126" s="29"/>
      <c r="T126" s="29"/>
      <c r="V126" s="29"/>
      <c r="X126" s="29"/>
      <c r="Y126" s="29"/>
      <c r="Z126" s="29"/>
    </row>
    <row r="127" spans="1:26" ht="15" thickBot="1">
      <c r="A127" s="49">
        <v>45239</v>
      </c>
      <c r="B127" s="29" t="s">
        <v>257</v>
      </c>
      <c r="C127" s="29" t="s">
        <v>261</v>
      </c>
      <c r="D127" s="29" t="s">
        <v>247</v>
      </c>
      <c r="E127" s="29" t="s">
        <v>6</v>
      </c>
      <c r="F127" s="29" t="s">
        <v>233</v>
      </c>
      <c r="G127" s="29" t="s">
        <v>304</v>
      </c>
      <c r="H127" s="32">
        <v>20</v>
      </c>
      <c r="I127" s="32">
        <v>4055.72</v>
      </c>
      <c r="J127" s="32">
        <v>81114.399999999994</v>
      </c>
      <c r="K127" s="29"/>
      <c r="M127" s="29"/>
      <c r="N127" s="29"/>
      <c r="P127" s="29"/>
      <c r="Q127" s="29"/>
      <c r="S127" s="29"/>
      <c r="T127" s="29"/>
      <c r="V127" s="29"/>
      <c r="X127" s="29"/>
      <c r="Y127" s="29"/>
      <c r="Z127" s="29"/>
    </row>
    <row r="128" spans="1:26" ht="15" thickBot="1">
      <c r="A128" s="49">
        <v>44995</v>
      </c>
      <c r="B128" s="29" t="s">
        <v>260</v>
      </c>
      <c r="C128" s="29" t="s">
        <v>244</v>
      </c>
      <c r="D128" s="29" t="s">
        <v>237</v>
      </c>
      <c r="E128" s="29" t="s">
        <v>8</v>
      </c>
      <c r="F128" s="29" t="s">
        <v>233</v>
      </c>
      <c r="G128" s="29" t="s">
        <v>304</v>
      </c>
      <c r="H128" s="32">
        <v>8</v>
      </c>
      <c r="I128" s="32">
        <v>2986.89</v>
      </c>
      <c r="J128" s="32">
        <v>23895.119999999999</v>
      </c>
      <c r="K128" s="29"/>
      <c r="M128" s="29"/>
      <c r="N128" s="29"/>
      <c r="P128" s="29"/>
      <c r="Q128" s="29"/>
      <c r="S128" s="29"/>
      <c r="T128" s="29"/>
      <c r="V128" s="29"/>
      <c r="X128" s="29"/>
      <c r="Y128" s="29"/>
      <c r="Z128" s="29"/>
    </row>
    <row r="129" spans="1:26" ht="15" thickBot="1">
      <c r="A129" s="32" t="s">
        <v>320</v>
      </c>
      <c r="B129" s="29" t="s">
        <v>254</v>
      </c>
      <c r="C129" s="29" t="s">
        <v>273</v>
      </c>
      <c r="D129" s="29" t="s">
        <v>252</v>
      </c>
      <c r="E129" s="29" t="s">
        <v>5</v>
      </c>
      <c r="F129" s="29" t="s">
        <v>259</v>
      </c>
      <c r="G129" s="29" t="s">
        <v>298</v>
      </c>
      <c r="H129" s="32">
        <v>7</v>
      </c>
      <c r="I129" s="32">
        <v>4933.0600000000004</v>
      </c>
      <c r="J129" s="32">
        <v>34531.42</v>
      </c>
      <c r="K129" s="29"/>
      <c r="M129" s="29"/>
      <c r="N129" s="29"/>
      <c r="P129" s="29"/>
      <c r="Q129" s="29"/>
      <c r="S129" s="29"/>
      <c r="T129" s="29"/>
      <c r="V129" s="29"/>
      <c r="X129" s="29"/>
      <c r="Y129" s="29"/>
      <c r="Z129" s="29"/>
    </row>
    <row r="130" spans="1:26" ht="15" thickBot="1">
      <c r="A130" s="32" t="s">
        <v>350</v>
      </c>
      <c r="B130" s="29" t="s">
        <v>271</v>
      </c>
      <c r="C130" s="29" t="s">
        <v>241</v>
      </c>
      <c r="D130" s="29" t="s">
        <v>242</v>
      </c>
      <c r="E130" s="29" t="s">
        <v>8</v>
      </c>
      <c r="F130" s="29" t="s">
        <v>238</v>
      </c>
      <c r="G130" s="29" t="s">
        <v>239</v>
      </c>
      <c r="H130" s="32">
        <v>4</v>
      </c>
      <c r="I130" s="32">
        <v>4837.17</v>
      </c>
      <c r="J130" s="32">
        <v>19348.68</v>
      </c>
      <c r="K130" s="29"/>
      <c r="M130" s="29"/>
      <c r="N130" s="29"/>
      <c r="P130" s="29"/>
      <c r="Q130" s="29"/>
      <c r="S130" s="29"/>
      <c r="T130" s="29"/>
      <c r="V130" s="29"/>
      <c r="X130" s="29"/>
      <c r="Y130" s="29"/>
      <c r="Z130" s="29"/>
    </row>
    <row r="131" spans="1:26" ht="15" thickBot="1">
      <c r="A131" s="49">
        <v>45026</v>
      </c>
      <c r="B131" s="29" t="s">
        <v>260</v>
      </c>
      <c r="C131" s="29" t="s">
        <v>281</v>
      </c>
      <c r="D131" s="29" t="s">
        <v>252</v>
      </c>
      <c r="E131" s="29" t="s">
        <v>5</v>
      </c>
      <c r="F131" s="29" t="s">
        <v>238</v>
      </c>
      <c r="G131" s="29" t="s">
        <v>239</v>
      </c>
      <c r="H131" s="32">
        <v>1</v>
      </c>
      <c r="I131" s="32">
        <v>4813.2299999999996</v>
      </c>
      <c r="J131" s="32">
        <v>4813.2299999999996</v>
      </c>
      <c r="K131" s="29"/>
      <c r="M131" s="29"/>
      <c r="N131" s="29"/>
      <c r="P131" s="29"/>
      <c r="Q131" s="29"/>
      <c r="S131" s="29"/>
      <c r="T131" s="29"/>
      <c r="V131" s="29"/>
      <c r="X131" s="29"/>
      <c r="Y131" s="29"/>
      <c r="Z131" s="29"/>
    </row>
    <row r="132" spans="1:26" ht="15" thickBot="1">
      <c r="A132" s="32" t="s">
        <v>286</v>
      </c>
      <c r="B132" s="29" t="s">
        <v>260</v>
      </c>
      <c r="C132" s="29" t="s">
        <v>258</v>
      </c>
      <c r="D132" s="29" t="s">
        <v>242</v>
      </c>
      <c r="E132" s="29" t="s">
        <v>8</v>
      </c>
      <c r="F132" s="29" t="s">
        <v>245</v>
      </c>
      <c r="G132" s="29" t="s">
        <v>295</v>
      </c>
      <c r="H132" s="32">
        <v>16</v>
      </c>
      <c r="I132" s="32">
        <v>3158.66</v>
      </c>
      <c r="J132" s="32">
        <v>50538.559999999998</v>
      </c>
      <c r="K132" s="29"/>
      <c r="M132" s="29"/>
      <c r="N132" s="29"/>
      <c r="P132" s="29"/>
      <c r="Q132" s="29"/>
      <c r="S132" s="29"/>
      <c r="T132" s="29"/>
      <c r="V132" s="29"/>
      <c r="X132" s="29"/>
      <c r="Y132" s="29"/>
      <c r="Z132" s="29"/>
    </row>
    <row r="133" spans="1:26" ht="15" thickBot="1">
      <c r="A133" s="49">
        <v>45086</v>
      </c>
      <c r="B133" s="29" t="s">
        <v>235</v>
      </c>
      <c r="C133" s="29" t="s">
        <v>231</v>
      </c>
      <c r="D133" s="29" t="s">
        <v>232</v>
      </c>
      <c r="E133" s="29" t="s">
        <v>6</v>
      </c>
      <c r="F133" s="29" t="s">
        <v>259</v>
      </c>
      <c r="G133" s="29" t="s">
        <v>182</v>
      </c>
      <c r="H133" s="32">
        <v>6</v>
      </c>
      <c r="I133" s="32">
        <v>2920.43</v>
      </c>
      <c r="J133" s="32">
        <v>17522.580000000002</v>
      </c>
      <c r="K133" s="29"/>
      <c r="M133" s="29"/>
      <c r="N133" s="29"/>
      <c r="P133" s="29"/>
      <c r="Q133" s="29"/>
      <c r="S133" s="29"/>
      <c r="T133" s="29"/>
      <c r="V133" s="29"/>
      <c r="X133" s="29"/>
      <c r="Y133" s="29"/>
      <c r="Z133" s="29"/>
    </row>
    <row r="134" spans="1:26" ht="15" thickBot="1">
      <c r="A134" s="49">
        <v>45119</v>
      </c>
      <c r="B134" s="29" t="s">
        <v>235</v>
      </c>
      <c r="C134" s="29" t="s">
        <v>231</v>
      </c>
      <c r="D134" s="29" t="s">
        <v>232</v>
      </c>
      <c r="E134" s="29" t="s">
        <v>6</v>
      </c>
      <c r="F134" s="29" t="s">
        <v>245</v>
      </c>
      <c r="G134" s="29" t="s">
        <v>266</v>
      </c>
      <c r="H134" s="32">
        <v>12</v>
      </c>
      <c r="I134" s="32">
        <v>2170.02</v>
      </c>
      <c r="J134" s="32">
        <v>26040.240000000002</v>
      </c>
      <c r="K134" s="29"/>
      <c r="M134" s="29"/>
      <c r="N134" s="29"/>
      <c r="P134" s="29"/>
      <c r="Q134" s="29"/>
      <c r="S134" s="29"/>
      <c r="T134" s="29"/>
      <c r="V134" s="29"/>
      <c r="X134" s="29"/>
      <c r="Y134" s="29"/>
      <c r="Z134" s="29"/>
    </row>
    <row r="135" spans="1:26" ht="15" thickBot="1">
      <c r="A135" s="32" t="s">
        <v>351</v>
      </c>
      <c r="B135" s="29" t="s">
        <v>254</v>
      </c>
      <c r="C135" s="29" t="s">
        <v>231</v>
      </c>
      <c r="D135" s="29" t="s">
        <v>232</v>
      </c>
      <c r="E135" s="29" t="s">
        <v>6</v>
      </c>
      <c r="F135" s="29" t="s">
        <v>259</v>
      </c>
      <c r="G135" s="29" t="s">
        <v>179</v>
      </c>
      <c r="H135" s="32">
        <v>2</v>
      </c>
      <c r="I135" s="32">
        <v>4542.6099999999997</v>
      </c>
      <c r="J135" s="32">
        <v>9085.2199999999993</v>
      </c>
      <c r="K135" s="29"/>
      <c r="M135" s="29"/>
      <c r="N135" s="29"/>
      <c r="P135" s="29"/>
      <c r="Q135" s="29"/>
      <c r="S135" s="29"/>
      <c r="T135" s="29"/>
      <c r="V135" s="29"/>
      <c r="X135" s="29"/>
      <c r="Y135" s="29"/>
      <c r="Z135" s="29"/>
    </row>
    <row r="136" spans="1:26" ht="15" thickBot="1">
      <c r="A136" s="32" t="s">
        <v>253</v>
      </c>
      <c r="B136" s="29" t="s">
        <v>240</v>
      </c>
      <c r="C136" s="29" t="s">
        <v>274</v>
      </c>
      <c r="D136" s="29" t="s">
        <v>232</v>
      </c>
      <c r="E136" s="29" t="s">
        <v>6</v>
      </c>
      <c r="F136" s="29" t="s">
        <v>259</v>
      </c>
      <c r="G136" s="29" t="s">
        <v>179</v>
      </c>
      <c r="H136" s="32">
        <v>1</v>
      </c>
      <c r="I136" s="32">
        <v>3091.48</v>
      </c>
      <c r="J136" s="32">
        <v>3091.48</v>
      </c>
      <c r="K136" s="29"/>
      <c r="M136" s="29"/>
      <c r="N136" s="29"/>
      <c r="P136" s="29"/>
      <c r="Q136" s="29"/>
      <c r="S136" s="29"/>
      <c r="T136" s="29"/>
      <c r="V136" s="29"/>
      <c r="X136" s="29"/>
      <c r="Y136" s="29"/>
      <c r="Z136" s="29"/>
    </row>
    <row r="137" spans="1:26" ht="15" thickBot="1">
      <c r="A137" s="49">
        <v>45017</v>
      </c>
      <c r="B137" s="29" t="s">
        <v>260</v>
      </c>
      <c r="C137" s="29" t="s">
        <v>276</v>
      </c>
      <c r="D137" s="29" t="s">
        <v>247</v>
      </c>
      <c r="E137" s="29" t="s">
        <v>6</v>
      </c>
      <c r="F137" s="29" t="s">
        <v>233</v>
      </c>
      <c r="G137" s="29" t="s">
        <v>234</v>
      </c>
      <c r="H137" s="32">
        <v>3</v>
      </c>
      <c r="I137" s="32">
        <v>2205.6</v>
      </c>
      <c r="J137" s="32">
        <v>6616.8</v>
      </c>
      <c r="K137" s="29"/>
      <c r="M137" s="29"/>
      <c r="N137" s="29"/>
      <c r="P137" s="29"/>
      <c r="Q137" s="29"/>
      <c r="S137" s="29"/>
      <c r="T137" s="29"/>
      <c r="V137" s="29"/>
      <c r="X137" s="29"/>
      <c r="Y137" s="29"/>
      <c r="Z137" s="29"/>
    </row>
    <row r="138" spans="1:26" ht="15" thickBot="1">
      <c r="A138" s="32" t="s">
        <v>352</v>
      </c>
      <c r="B138" s="29" t="s">
        <v>240</v>
      </c>
      <c r="C138" s="29" t="s">
        <v>231</v>
      </c>
      <c r="D138" s="29" t="s">
        <v>232</v>
      </c>
      <c r="E138" s="29" t="s">
        <v>6</v>
      </c>
      <c r="F138" s="29" t="s">
        <v>259</v>
      </c>
      <c r="G138" s="29" t="s">
        <v>298</v>
      </c>
      <c r="H138" s="32">
        <v>10</v>
      </c>
      <c r="I138" s="32">
        <v>4282.18</v>
      </c>
      <c r="J138" s="32">
        <v>42821.8</v>
      </c>
      <c r="K138" s="29"/>
      <c r="M138" s="29"/>
      <c r="N138" s="29"/>
      <c r="P138" s="29"/>
      <c r="Q138" s="29"/>
      <c r="S138" s="29"/>
      <c r="T138" s="29"/>
      <c r="V138" s="29"/>
      <c r="X138" s="29"/>
      <c r="Y138" s="29"/>
      <c r="Z138" s="29"/>
    </row>
    <row r="139" spans="1:26" ht="15" thickBot="1">
      <c r="A139" s="32" t="s">
        <v>353</v>
      </c>
      <c r="B139" s="29" t="s">
        <v>254</v>
      </c>
      <c r="C139" s="29" t="s">
        <v>241</v>
      </c>
      <c r="D139" s="29" t="s">
        <v>242</v>
      </c>
      <c r="E139" s="29" t="s">
        <v>8</v>
      </c>
      <c r="F139" s="29" t="s">
        <v>238</v>
      </c>
      <c r="G139" s="29" t="s">
        <v>239</v>
      </c>
      <c r="H139" s="32">
        <v>5</v>
      </c>
      <c r="I139" s="32">
        <v>4252.84</v>
      </c>
      <c r="J139" s="32">
        <v>21264.2</v>
      </c>
      <c r="K139" s="29"/>
      <c r="M139" s="29"/>
      <c r="N139" s="29"/>
      <c r="P139" s="29"/>
      <c r="Q139" s="29"/>
      <c r="S139" s="29"/>
      <c r="T139" s="29"/>
      <c r="V139" s="29"/>
      <c r="X139" s="29"/>
      <c r="Y139" s="29"/>
      <c r="Z139" s="29"/>
    </row>
    <row r="140" spans="1:26" ht="15" thickBot="1">
      <c r="A140" s="49">
        <v>45139</v>
      </c>
      <c r="B140" s="29" t="s">
        <v>235</v>
      </c>
      <c r="C140" s="29" t="s">
        <v>313</v>
      </c>
      <c r="D140" s="29" t="s">
        <v>252</v>
      </c>
      <c r="E140" s="29" t="s">
        <v>5</v>
      </c>
      <c r="F140" s="29" t="s">
        <v>233</v>
      </c>
      <c r="G140" s="29" t="s">
        <v>304</v>
      </c>
      <c r="H140" s="32">
        <v>3</v>
      </c>
      <c r="I140" s="32">
        <v>916.33</v>
      </c>
      <c r="J140" s="32">
        <v>2748.99</v>
      </c>
      <c r="K140" s="29"/>
      <c r="M140" s="29"/>
      <c r="N140" s="29"/>
      <c r="P140" s="29"/>
      <c r="Q140" s="29"/>
      <c r="S140" s="29"/>
      <c r="T140" s="29"/>
      <c r="V140" s="29"/>
      <c r="X140" s="29"/>
      <c r="Y140" s="29"/>
      <c r="Z140" s="29"/>
    </row>
    <row r="141" spans="1:26" ht="15" thickBot="1">
      <c r="A141" s="32" t="s">
        <v>354</v>
      </c>
      <c r="B141" s="29" t="s">
        <v>235</v>
      </c>
      <c r="C141" s="29" t="s">
        <v>261</v>
      </c>
      <c r="D141" s="29" t="s">
        <v>247</v>
      </c>
      <c r="E141" s="29" t="s">
        <v>6</v>
      </c>
      <c r="F141" s="29" t="s">
        <v>233</v>
      </c>
      <c r="G141" s="29" t="s">
        <v>304</v>
      </c>
      <c r="H141" s="32">
        <v>3</v>
      </c>
      <c r="I141" s="32">
        <v>1270.1500000000001</v>
      </c>
      <c r="J141" s="32">
        <v>3810.45</v>
      </c>
      <c r="K141" s="29"/>
      <c r="M141" s="29"/>
      <c r="N141" s="29"/>
      <c r="P141" s="29"/>
      <c r="Q141" s="29"/>
      <c r="S141" s="29"/>
      <c r="T141" s="29"/>
      <c r="V141" s="29"/>
      <c r="X141" s="29"/>
      <c r="Y141" s="29"/>
      <c r="Z141" s="29"/>
    </row>
    <row r="142" spans="1:26" ht="15" thickBot="1">
      <c r="A142" s="49">
        <v>45232</v>
      </c>
      <c r="B142" s="29" t="s">
        <v>240</v>
      </c>
      <c r="C142" s="29" t="s">
        <v>236</v>
      </c>
      <c r="D142" s="29" t="s">
        <v>237</v>
      </c>
      <c r="E142" s="29" t="s">
        <v>8</v>
      </c>
      <c r="F142" s="29" t="s">
        <v>233</v>
      </c>
      <c r="G142" s="29" t="s">
        <v>287</v>
      </c>
      <c r="H142" s="32">
        <v>6</v>
      </c>
      <c r="I142" s="32">
        <v>1750.35</v>
      </c>
      <c r="J142" s="32">
        <v>10502.1</v>
      </c>
      <c r="K142" s="29"/>
      <c r="M142" s="29"/>
      <c r="N142" s="29"/>
      <c r="P142" s="29"/>
      <c r="Q142" s="29"/>
      <c r="S142" s="29"/>
      <c r="T142" s="29"/>
      <c r="V142" s="29"/>
      <c r="X142" s="29"/>
      <c r="Y142" s="29"/>
      <c r="Z142" s="29"/>
    </row>
    <row r="143" spans="1:26" ht="15" thickBot="1">
      <c r="A143" s="32" t="s">
        <v>355</v>
      </c>
      <c r="B143" s="29" t="s">
        <v>230</v>
      </c>
      <c r="C143" s="29" t="s">
        <v>236</v>
      </c>
      <c r="D143" s="29" t="s">
        <v>237</v>
      </c>
      <c r="E143" s="29" t="s">
        <v>8</v>
      </c>
      <c r="F143" s="29" t="s">
        <v>250</v>
      </c>
      <c r="G143" s="29" t="s">
        <v>251</v>
      </c>
      <c r="H143" s="32">
        <v>6</v>
      </c>
      <c r="I143" s="32">
        <v>1105.03</v>
      </c>
      <c r="J143" s="32">
        <v>6630.18</v>
      </c>
      <c r="K143" s="29"/>
      <c r="M143" s="29"/>
      <c r="N143" s="29"/>
      <c r="P143" s="29"/>
      <c r="Q143" s="29"/>
      <c r="S143" s="29"/>
      <c r="T143" s="29"/>
      <c r="V143" s="29"/>
      <c r="X143" s="29"/>
      <c r="Y143" s="29"/>
      <c r="Z143" s="29"/>
    </row>
    <row r="144" spans="1:26" ht="15" thickBot="1">
      <c r="A144" s="32" t="s">
        <v>356</v>
      </c>
      <c r="B144" s="29" t="s">
        <v>260</v>
      </c>
      <c r="C144" s="29" t="s">
        <v>236</v>
      </c>
      <c r="D144" s="29" t="s">
        <v>237</v>
      </c>
      <c r="E144" s="29" t="s">
        <v>8</v>
      </c>
      <c r="F144" s="29" t="s">
        <v>233</v>
      </c>
      <c r="G144" s="29" t="s">
        <v>234</v>
      </c>
      <c r="H144" s="32">
        <v>17</v>
      </c>
      <c r="I144" s="32">
        <v>1801.69</v>
      </c>
      <c r="J144" s="32">
        <v>30628.73</v>
      </c>
      <c r="K144" s="29"/>
      <c r="M144" s="29"/>
      <c r="N144" s="29"/>
      <c r="P144" s="29"/>
      <c r="Q144" s="29"/>
      <c r="S144" s="29"/>
      <c r="T144" s="29"/>
      <c r="V144" s="29"/>
      <c r="X144" s="29"/>
      <c r="Y144" s="29"/>
      <c r="Z144" s="29"/>
    </row>
    <row r="145" spans="1:26" ht="15" thickBot="1">
      <c r="A145" s="49">
        <v>45176</v>
      </c>
      <c r="B145" s="29" t="s">
        <v>268</v>
      </c>
      <c r="C145" s="29" t="s">
        <v>283</v>
      </c>
      <c r="D145" s="29" t="s">
        <v>242</v>
      </c>
      <c r="E145" s="29" t="s">
        <v>8</v>
      </c>
      <c r="F145" s="29" t="s">
        <v>259</v>
      </c>
      <c r="G145" s="29" t="s">
        <v>179</v>
      </c>
      <c r="H145" s="32">
        <v>19</v>
      </c>
      <c r="I145" s="32">
        <v>717.29</v>
      </c>
      <c r="J145" s="32">
        <v>13628.51</v>
      </c>
      <c r="K145" s="29"/>
      <c r="M145" s="29"/>
      <c r="N145" s="29"/>
      <c r="P145" s="29"/>
      <c r="Q145" s="29"/>
      <c r="S145" s="29"/>
      <c r="T145" s="29"/>
      <c r="V145" s="29"/>
      <c r="X145" s="29"/>
      <c r="Y145" s="29"/>
      <c r="Z145" s="29"/>
    </row>
    <row r="146" spans="1:26" ht="15" thickBot="1">
      <c r="A146" s="32" t="s">
        <v>333</v>
      </c>
      <c r="B146" s="29" t="s">
        <v>240</v>
      </c>
      <c r="C146" s="29" t="s">
        <v>316</v>
      </c>
      <c r="D146" s="29" t="s">
        <v>247</v>
      </c>
      <c r="E146" s="29" t="s">
        <v>6</v>
      </c>
      <c r="F146" s="29" t="s">
        <v>238</v>
      </c>
      <c r="G146" s="29" t="s">
        <v>296</v>
      </c>
      <c r="H146" s="32">
        <v>2</v>
      </c>
      <c r="I146" s="32">
        <v>4547.16</v>
      </c>
      <c r="J146" s="32">
        <v>9094.32</v>
      </c>
      <c r="K146" s="29"/>
      <c r="M146" s="29"/>
      <c r="N146" s="29"/>
      <c r="P146" s="29"/>
      <c r="Q146" s="29"/>
      <c r="S146" s="29"/>
      <c r="T146" s="29"/>
      <c r="V146" s="29"/>
      <c r="X146" s="29"/>
      <c r="Y146" s="29"/>
      <c r="Z146" s="29"/>
    </row>
    <row r="147" spans="1:26" ht="15" thickBot="1">
      <c r="A147" s="49">
        <v>45027</v>
      </c>
      <c r="B147" s="29" t="s">
        <v>260</v>
      </c>
      <c r="C147" s="29" t="s">
        <v>313</v>
      </c>
      <c r="D147" s="29" t="s">
        <v>252</v>
      </c>
      <c r="E147" s="29" t="s">
        <v>5</v>
      </c>
      <c r="F147" s="29" t="s">
        <v>245</v>
      </c>
      <c r="G147" s="29" t="s">
        <v>246</v>
      </c>
      <c r="H147" s="32">
        <v>2</v>
      </c>
      <c r="I147" s="32">
        <v>4818.49</v>
      </c>
      <c r="J147" s="32">
        <v>9636.98</v>
      </c>
      <c r="K147" s="29"/>
      <c r="M147" s="29"/>
      <c r="N147" s="29"/>
      <c r="P147" s="29"/>
      <c r="Q147" s="29"/>
      <c r="S147" s="29"/>
      <c r="T147" s="29"/>
      <c r="V147" s="29"/>
      <c r="X147" s="29"/>
      <c r="Y147" s="29"/>
      <c r="Z147" s="29"/>
    </row>
    <row r="148" spans="1:26" ht="15" thickBot="1">
      <c r="A148" s="49">
        <v>45210</v>
      </c>
      <c r="B148" s="29" t="s">
        <v>248</v>
      </c>
      <c r="C148" s="29" t="s">
        <v>255</v>
      </c>
      <c r="D148" s="29" t="s">
        <v>237</v>
      </c>
      <c r="E148" s="29" t="s">
        <v>8</v>
      </c>
      <c r="F148" s="29" t="s">
        <v>238</v>
      </c>
      <c r="G148" s="29" t="s">
        <v>239</v>
      </c>
      <c r="H148" s="32">
        <v>14</v>
      </c>
      <c r="I148" s="32">
        <v>1410.91</v>
      </c>
      <c r="J148" s="32">
        <v>19752.740000000002</v>
      </c>
      <c r="K148" s="29"/>
      <c r="M148" s="29"/>
      <c r="N148" s="29"/>
      <c r="P148" s="29"/>
      <c r="Q148" s="29"/>
      <c r="S148" s="29"/>
      <c r="T148" s="29"/>
      <c r="V148" s="29"/>
      <c r="X148" s="29"/>
      <c r="Y148" s="29"/>
      <c r="Z148" s="29"/>
    </row>
    <row r="149" spans="1:26" ht="15" thickBot="1">
      <c r="A149" s="32" t="s">
        <v>357</v>
      </c>
      <c r="B149" s="29" t="s">
        <v>280</v>
      </c>
      <c r="C149" s="29" t="s">
        <v>241</v>
      </c>
      <c r="D149" s="29" t="s">
        <v>242</v>
      </c>
      <c r="E149" s="29" t="s">
        <v>8</v>
      </c>
      <c r="F149" s="29" t="s">
        <v>245</v>
      </c>
      <c r="G149" s="29" t="s">
        <v>246</v>
      </c>
      <c r="H149" s="32">
        <v>20</v>
      </c>
      <c r="I149" s="32">
        <v>239.35</v>
      </c>
      <c r="J149" s="32">
        <v>4787</v>
      </c>
      <c r="K149" s="29"/>
      <c r="M149" s="29"/>
      <c r="N149" s="29"/>
      <c r="P149" s="29"/>
      <c r="Q149" s="29"/>
      <c r="S149" s="29"/>
      <c r="T149" s="29"/>
      <c r="V149" s="29"/>
      <c r="X149" s="29"/>
      <c r="Y149" s="29"/>
      <c r="Z149" s="29"/>
    </row>
    <row r="150" spans="1:26" ht="15" thickBot="1">
      <c r="A150" s="49">
        <v>44963</v>
      </c>
      <c r="B150" s="29" t="s">
        <v>254</v>
      </c>
      <c r="C150" s="29" t="s">
        <v>316</v>
      </c>
      <c r="D150" s="29" t="s">
        <v>247</v>
      </c>
      <c r="E150" s="29" t="s">
        <v>6</v>
      </c>
      <c r="F150" s="29" t="s">
        <v>238</v>
      </c>
      <c r="G150" s="29" t="s">
        <v>296</v>
      </c>
      <c r="H150" s="32">
        <v>16</v>
      </c>
      <c r="I150" s="32">
        <v>4096.74</v>
      </c>
      <c r="J150" s="32">
        <v>65547.839999999997</v>
      </c>
      <c r="K150" s="29"/>
      <c r="M150" s="29"/>
      <c r="N150" s="29"/>
      <c r="P150" s="29"/>
      <c r="Q150" s="29"/>
      <c r="S150" s="29"/>
      <c r="T150" s="29"/>
      <c r="V150" s="29"/>
      <c r="X150" s="29"/>
      <c r="Y150" s="29"/>
      <c r="Z150" s="29"/>
    </row>
    <row r="151" spans="1:26" ht="15" thickBot="1">
      <c r="A151" s="32" t="s">
        <v>358</v>
      </c>
      <c r="B151" s="29" t="s">
        <v>254</v>
      </c>
      <c r="C151" s="29" t="s">
        <v>255</v>
      </c>
      <c r="D151" s="29" t="s">
        <v>237</v>
      </c>
      <c r="E151" s="29" t="s">
        <v>8</v>
      </c>
      <c r="F151" s="29" t="s">
        <v>238</v>
      </c>
      <c r="G151" s="29" t="s">
        <v>256</v>
      </c>
      <c r="H151" s="32">
        <v>14</v>
      </c>
      <c r="I151" s="32">
        <v>3507.25</v>
      </c>
      <c r="J151" s="32">
        <v>49101.5</v>
      </c>
      <c r="K151" s="29"/>
      <c r="M151" s="29"/>
      <c r="N151" s="29"/>
      <c r="P151" s="29"/>
      <c r="Q151" s="29"/>
      <c r="S151" s="29"/>
      <c r="T151" s="29"/>
      <c r="V151" s="29"/>
      <c r="X151" s="29"/>
      <c r="Y151" s="29"/>
      <c r="Z151" s="29"/>
    </row>
    <row r="152" spans="1:26" ht="15" thickBot="1">
      <c r="A152" s="32" t="s">
        <v>359</v>
      </c>
      <c r="B152" s="29" t="s">
        <v>248</v>
      </c>
      <c r="C152" s="29" t="s">
        <v>274</v>
      </c>
      <c r="D152" s="29" t="s">
        <v>232</v>
      </c>
      <c r="E152" s="29" t="s">
        <v>6</v>
      </c>
      <c r="F152" s="29" t="s">
        <v>238</v>
      </c>
      <c r="G152" s="29" t="s">
        <v>296</v>
      </c>
      <c r="H152" s="32">
        <v>16</v>
      </c>
      <c r="I152" s="32">
        <v>4507.37</v>
      </c>
      <c r="J152" s="32">
        <v>72117.919999999998</v>
      </c>
      <c r="K152" s="29"/>
      <c r="M152" s="29"/>
      <c r="N152" s="29"/>
      <c r="P152" s="29"/>
      <c r="Q152" s="29"/>
      <c r="S152" s="29"/>
      <c r="T152" s="29"/>
      <c r="V152" s="29"/>
      <c r="X152" s="29"/>
      <c r="Y152" s="29"/>
      <c r="Z152" s="29"/>
    </row>
    <row r="153" spans="1:26" ht="15" thickBot="1">
      <c r="A153" s="32" t="s">
        <v>318</v>
      </c>
      <c r="B153" s="29" t="s">
        <v>254</v>
      </c>
      <c r="C153" s="29" t="s">
        <v>313</v>
      </c>
      <c r="D153" s="29" t="s">
        <v>252</v>
      </c>
      <c r="E153" s="29" t="s">
        <v>5</v>
      </c>
      <c r="F153" s="29" t="s">
        <v>233</v>
      </c>
      <c r="G153" s="29" t="s">
        <v>287</v>
      </c>
      <c r="H153" s="32">
        <v>10</v>
      </c>
      <c r="I153" s="32">
        <v>239.55</v>
      </c>
      <c r="J153" s="32">
        <v>2395.5</v>
      </c>
      <c r="K153" s="29"/>
      <c r="M153" s="29"/>
      <c r="N153" s="29"/>
      <c r="P153" s="29"/>
      <c r="Q153" s="29"/>
      <c r="S153" s="29"/>
      <c r="T153" s="29"/>
      <c r="V153" s="29"/>
      <c r="X153" s="29"/>
      <c r="Y153" s="29"/>
      <c r="Z153" s="29"/>
    </row>
    <row r="154" spans="1:26" ht="15" thickBot="1">
      <c r="A154" s="32" t="s">
        <v>323</v>
      </c>
      <c r="B154" s="29" t="s">
        <v>230</v>
      </c>
      <c r="C154" s="29" t="s">
        <v>231</v>
      </c>
      <c r="D154" s="29" t="s">
        <v>232</v>
      </c>
      <c r="E154" s="29" t="s">
        <v>6</v>
      </c>
      <c r="F154" s="29" t="s">
        <v>238</v>
      </c>
      <c r="G154" s="29" t="s">
        <v>256</v>
      </c>
      <c r="H154" s="32">
        <v>17</v>
      </c>
      <c r="I154" s="32">
        <v>679.78</v>
      </c>
      <c r="J154" s="32">
        <v>11556.26</v>
      </c>
      <c r="K154" s="29"/>
      <c r="M154" s="29"/>
      <c r="N154" s="29"/>
      <c r="P154" s="29"/>
      <c r="Q154" s="29"/>
      <c r="S154" s="29"/>
      <c r="T154" s="29"/>
      <c r="V154" s="29"/>
      <c r="X154" s="29"/>
      <c r="Y154" s="29"/>
      <c r="Z154" s="29"/>
    </row>
    <row r="155" spans="1:26" ht="15" thickBot="1">
      <c r="A155" s="32" t="s">
        <v>360</v>
      </c>
      <c r="B155" s="29" t="s">
        <v>254</v>
      </c>
      <c r="C155" s="29" t="s">
        <v>258</v>
      </c>
      <c r="D155" s="29" t="s">
        <v>242</v>
      </c>
      <c r="E155" s="29" t="s">
        <v>8</v>
      </c>
      <c r="F155" s="29" t="s">
        <v>233</v>
      </c>
      <c r="G155" s="29" t="s">
        <v>304</v>
      </c>
      <c r="H155" s="32">
        <v>18</v>
      </c>
      <c r="I155" s="32">
        <v>2658.57</v>
      </c>
      <c r="J155" s="32">
        <v>47854.26</v>
      </c>
      <c r="K155" s="29"/>
      <c r="M155" s="29"/>
      <c r="N155" s="29"/>
      <c r="P155" s="29"/>
      <c r="Q155" s="29"/>
      <c r="S155" s="29"/>
      <c r="T155" s="29"/>
      <c r="V155" s="29"/>
      <c r="X155" s="29"/>
      <c r="Y155" s="29"/>
      <c r="Z155" s="29"/>
    </row>
    <row r="156" spans="1:26" ht="15" thickBot="1">
      <c r="A156" s="32" t="s">
        <v>338</v>
      </c>
      <c r="B156" s="29" t="s">
        <v>268</v>
      </c>
      <c r="C156" s="29" t="s">
        <v>236</v>
      </c>
      <c r="D156" s="29" t="s">
        <v>237</v>
      </c>
      <c r="E156" s="29" t="s">
        <v>8</v>
      </c>
      <c r="F156" s="29" t="s">
        <v>233</v>
      </c>
      <c r="G156" s="29" t="s">
        <v>234</v>
      </c>
      <c r="H156" s="32">
        <v>18</v>
      </c>
      <c r="I156" s="32">
        <v>4937.99</v>
      </c>
      <c r="J156" s="32">
        <v>88883.82</v>
      </c>
      <c r="K156" s="29"/>
      <c r="M156" s="29"/>
      <c r="N156" s="29"/>
      <c r="P156" s="29"/>
      <c r="Q156" s="29"/>
      <c r="S156" s="29"/>
      <c r="T156" s="29"/>
      <c r="V156" s="29"/>
      <c r="X156" s="29"/>
      <c r="Y156" s="29"/>
      <c r="Z156" s="29"/>
    </row>
    <row r="157" spans="1:26" ht="15" thickBot="1">
      <c r="A157" s="32" t="s">
        <v>342</v>
      </c>
      <c r="B157" s="29" t="s">
        <v>268</v>
      </c>
      <c r="C157" s="29" t="s">
        <v>276</v>
      </c>
      <c r="D157" s="29" t="s">
        <v>247</v>
      </c>
      <c r="E157" s="29" t="s">
        <v>6</v>
      </c>
      <c r="F157" s="29" t="s">
        <v>233</v>
      </c>
      <c r="G157" s="29" t="s">
        <v>301</v>
      </c>
      <c r="H157" s="32">
        <v>17</v>
      </c>
      <c r="I157" s="32">
        <v>3421.31</v>
      </c>
      <c r="J157" s="32">
        <v>58162.27</v>
      </c>
      <c r="K157" s="29"/>
      <c r="M157" s="29"/>
      <c r="N157" s="29"/>
      <c r="P157" s="29"/>
      <c r="Q157" s="29"/>
      <c r="S157" s="29"/>
      <c r="T157" s="29"/>
      <c r="V157" s="29"/>
      <c r="X157" s="29"/>
      <c r="Y157" s="29"/>
      <c r="Z157" s="29"/>
    </row>
    <row r="158" spans="1:26" ht="15" thickBot="1">
      <c r="A158" s="32" t="s">
        <v>353</v>
      </c>
      <c r="B158" s="29" t="s">
        <v>280</v>
      </c>
      <c r="C158" s="29" t="s">
        <v>281</v>
      </c>
      <c r="D158" s="29" t="s">
        <v>252</v>
      </c>
      <c r="E158" s="29" t="s">
        <v>5</v>
      </c>
      <c r="F158" s="29" t="s">
        <v>259</v>
      </c>
      <c r="G158" s="29" t="s">
        <v>179</v>
      </c>
      <c r="H158" s="32">
        <v>4</v>
      </c>
      <c r="I158" s="32">
        <v>1555.9</v>
      </c>
      <c r="J158" s="32">
        <v>6223.6</v>
      </c>
      <c r="K158" s="29"/>
      <c r="M158" s="29"/>
      <c r="N158" s="29"/>
      <c r="P158" s="29"/>
      <c r="Q158" s="29"/>
      <c r="S158" s="29"/>
      <c r="T158" s="29"/>
      <c r="V158" s="29"/>
      <c r="X158" s="29"/>
      <c r="Y158" s="29"/>
      <c r="Z158" s="29"/>
    </row>
    <row r="159" spans="1:26" ht="15" thickBot="1">
      <c r="A159" s="32" t="s">
        <v>361</v>
      </c>
      <c r="B159" s="29" t="s">
        <v>257</v>
      </c>
      <c r="C159" s="29" t="s">
        <v>274</v>
      </c>
      <c r="D159" s="29" t="s">
        <v>232</v>
      </c>
      <c r="E159" s="29" t="s">
        <v>6</v>
      </c>
      <c r="F159" s="29" t="s">
        <v>259</v>
      </c>
      <c r="G159" s="29" t="s">
        <v>179</v>
      </c>
      <c r="H159" s="32">
        <v>12</v>
      </c>
      <c r="I159" s="32">
        <v>932.42</v>
      </c>
      <c r="J159" s="32">
        <v>11189.04</v>
      </c>
      <c r="K159" s="29"/>
      <c r="M159" s="29"/>
      <c r="N159" s="29"/>
      <c r="P159" s="29"/>
      <c r="Q159" s="29"/>
      <c r="S159" s="29"/>
      <c r="T159" s="29"/>
      <c r="V159" s="29"/>
      <c r="X159" s="29"/>
      <c r="Y159" s="29"/>
      <c r="Z159" s="29"/>
    </row>
    <row r="160" spans="1:26" ht="15" thickBot="1">
      <c r="A160" s="32" t="s">
        <v>344</v>
      </c>
      <c r="B160" s="29" t="s">
        <v>254</v>
      </c>
      <c r="C160" s="29" t="s">
        <v>258</v>
      </c>
      <c r="D160" s="29" t="s">
        <v>242</v>
      </c>
      <c r="E160" s="29" t="s">
        <v>8</v>
      </c>
      <c r="F160" s="29" t="s">
        <v>233</v>
      </c>
      <c r="G160" s="29" t="s">
        <v>304</v>
      </c>
      <c r="H160" s="32">
        <v>20</v>
      </c>
      <c r="I160" s="32">
        <v>459.48</v>
      </c>
      <c r="J160" s="32">
        <v>9189.6</v>
      </c>
      <c r="K160" s="29"/>
      <c r="M160" s="29"/>
      <c r="N160" s="29"/>
      <c r="P160" s="29"/>
      <c r="Q160" s="29"/>
      <c r="S160" s="29"/>
      <c r="T160" s="29"/>
      <c r="V160" s="29"/>
      <c r="X160" s="29"/>
      <c r="Y160" s="29"/>
      <c r="Z160" s="29"/>
    </row>
    <row r="161" spans="1:26" ht="15" thickBot="1">
      <c r="A161" s="32" t="s">
        <v>334</v>
      </c>
      <c r="B161" s="29" t="s">
        <v>235</v>
      </c>
      <c r="C161" s="29" t="s">
        <v>241</v>
      </c>
      <c r="D161" s="29" t="s">
        <v>242</v>
      </c>
      <c r="E161" s="29" t="s">
        <v>8</v>
      </c>
      <c r="F161" s="29" t="s">
        <v>259</v>
      </c>
      <c r="G161" s="29" t="s">
        <v>298</v>
      </c>
      <c r="H161" s="32">
        <v>5</v>
      </c>
      <c r="I161" s="32">
        <v>568.87</v>
      </c>
      <c r="J161" s="32">
        <v>2844.35</v>
      </c>
      <c r="K161" s="29"/>
      <c r="M161" s="29"/>
      <c r="N161" s="29"/>
      <c r="P161" s="29"/>
      <c r="Q161" s="29"/>
      <c r="S161" s="29"/>
      <c r="T161" s="29"/>
      <c r="V161" s="29"/>
      <c r="X161" s="29"/>
      <c r="Y161" s="29"/>
      <c r="Z161" s="29"/>
    </row>
    <row r="162" spans="1:26" ht="15" thickBot="1">
      <c r="A162" s="32" t="s">
        <v>329</v>
      </c>
      <c r="B162" s="29" t="s">
        <v>240</v>
      </c>
      <c r="C162" s="29" t="s">
        <v>283</v>
      </c>
      <c r="D162" s="29" t="s">
        <v>242</v>
      </c>
      <c r="E162" s="29" t="s">
        <v>8</v>
      </c>
      <c r="F162" s="29" t="s">
        <v>245</v>
      </c>
      <c r="G162" s="29" t="s">
        <v>295</v>
      </c>
      <c r="H162" s="32">
        <v>10</v>
      </c>
      <c r="I162" s="32">
        <v>1468.96</v>
      </c>
      <c r="J162" s="32">
        <v>14689.6</v>
      </c>
      <c r="K162" s="29"/>
      <c r="M162" s="29"/>
      <c r="N162" s="29"/>
      <c r="P162" s="29"/>
      <c r="Q162" s="29"/>
      <c r="S162" s="29"/>
      <c r="T162" s="29"/>
      <c r="V162" s="29"/>
      <c r="X162" s="29"/>
      <c r="Y162" s="29"/>
      <c r="Z162" s="29"/>
    </row>
    <row r="163" spans="1:26" ht="15" thickBot="1">
      <c r="A163" s="32" t="s">
        <v>352</v>
      </c>
      <c r="B163" s="29" t="s">
        <v>280</v>
      </c>
      <c r="C163" s="29" t="s">
        <v>281</v>
      </c>
      <c r="D163" s="29" t="s">
        <v>252</v>
      </c>
      <c r="E163" s="29" t="s">
        <v>5</v>
      </c>
      <c r="F163" s="29" t="s">
        <v>233</v>
      </c>
      <c r="G163" s="29" t="s">
        <v>304</v>
      </c>
      <c r="H163" s="32">
        <v>6</v>
      </c>
      <c r="I163" s="32">
        <v>3080.25</v>
      </c>
      <c r="J163" s="32">
        <v>18481.5</v>
      </c>
      <c r="K163" s="29"/>
      <c r="M163" s="29"/>
      <c r="N163" s="29"/>
      <c r="P163" s="29"/>
      <c r="Q163" s="29"/>
      <c r="S163" s="29"/>
      <c r="T163" s="29"/>
      <c r="V163" s="29"/>
      <c r="X163" s="29"/>
      <c r="Y163" s="29"/>
      <c r="Z163" s="29"/>
    </row>
    <row r="164" spans="1:26" ht="15" thickBot="1">
      <c r="A164" s="32" t="s">
        <v>362</v>
      </c>
      <c r="B164" s="29" t="s">
        <v>280</v>
      </c>
      <c r="C164" s="29" t="s">
        <v>241</v>
      </c>
      <c r="D164" s="29" t="s">
        <v>242</v>
      </c>
      <c r="E164" s="29" t="s">
        <v>8</v>
      </c>
      <c r="F164" s="29" t="s">
        <v>245</v>
      </c>
      <c r="G164" s="29" t="s">
        <v>266</v>
      </c>
      <c r="H164" s="32">
        <v>11</v>
      </c>
      <c r="I164" s="32">
        <v>1817.43</v>
      </c>
      <c r="J164" s="32">
        <v>19991.73</v>
      </c>
      <c r="K164" s="29"/>
      <c r="M164" s="29"/>
      <c r="N164" s="29"/>
      <c r="P164" s="29"/>
      <c r="Q164" s="29"/>
      <c r="S164" s="29"/>
      <c r="T164" s="29"/>
      <c r="V164" s="29"/>
      <c r="X164" s="29"/>
      <c r="Y164" s="29"/>
      <c r="Z164" s="29"/>
    </row>
    <row r="165" spans="1:26" ht="15" thickBot="1">
      <c r="A165" s="32" t="s">
        <v>363</v>
      </c>
      <c r="B165" s="29" t="s">
        <v>230</v>
      </c>
      <c r="C165" s="29" t="s">
        <v>313</v>
      </c>
      <c r="D165" s="29" t="s">
        <v>252</v>
      </c>
      <c r="E165" s="29" t="s">
        <v>5</v>
      </c>
      <c r="F165" s="29" t="s">
        <v>238</v>
      </c>
      <c r="G165" s="29" t="s">
        <v>296</v>
      </c>
      <c r="H165" s="32">
        <v>19</v>
      </c>
      <c r="I165" s="32">
        <v>3800.55</v>
      </c>
      <c r="J165" s="32">
        <v>72210.45</v>
      </c>
      <c r="K165" s="29"/>
      <c r="M165" s="29"/>
      <c r="N165" s="29"/>
      <c r="P165" s="29"/>
      <c r="Q165" s="29"/>
      <c r="S165" s="29"/>
      <c r="T165" s="29"/>
      <c r="V165" s="29"/>
      <c r="X165" s="29"/>
      <c r="Y165" s="29"/>
      <c r="Z165" s="29"/>
    </row>
    <row r="166" spans="1:26" ht="15" thickBot="1">
      <c r="A166" s="32" t="s">
        <v>364</v>
      </c>
      <c r="B166" s="29" t="s">
        <v>257</v>
      </c>
      <c r="C166" s="29" t="s">
        <v>316</v>
      </c>
      <c r="D166" s="29" t="s">
        <v>247</v>
      </c>
      <c r="E166" s="29" t="s">
        <v>6</v>
      </c>
      <c r="F166" s="29" t="s">
        <v>259</v>
      </c>
      <c r="G166" s="29" t="s">
        <v>179</v>
      </c>
      <c r="H166" s="32">
        <v>17</v>
      </c>
      <c r="I166" s="32">
        <v>2809.13</v>
      </c>
      <c r="J166" s="32">
        <v>47755.21</v>
      </c>
      <c r="K166" s="29"/>
      <c r="M166" s="29"/>
      <c r="N166" s="29"/>
      <c r="P166" s="29"/>
      <c r="Q166" s="29"/>
      <c r="S166" s="29"/>
      <c r="T166" s="29"/>
      <c r="V166" s="29"/>
      <c r="X166" s="29"/>
      <c r="Y166" s="29"/>
      <c r="Z166" s="29"/>
    </row>
    <row r="167" spans="1:26" ht="15" thickBot="1">
      <c r="A167" s="49">
        <v>45083</v>
      </c>
      <c r="B167" s="29" t="s">
        <v>240</v>
      </c>
      <c r="C167" s="29" t="s">
        <v>258</v>
      </c>
      <c r="D167" s="29" t="s">
        <v>242</v>
      </c>
      <c r="E167" s="29" t="s">
        <v>8</v>
      </c>
      <c r="F167" s="29" t="s">
        <v>238</v>
      </c>
      <c r="G167" s="29" t="s">
        <v>239</v>
      </c>
      <c r="H167" s="32">
        <v>9</v>
      </c>
      <c r="I167" s="32">
        <v>4712.9799999999996</v>
      </c>
      <c r="J167" s="32">
        <v>42416.82</v>
      </c>
      <c r="K167" s="29"/>
      <c r="M167" s="29"/>
      <c r="N167" s="29"/>
      <c r="P167" s="29"/>
      <c r="Q167" s="29"/>
      <c r="S167" s="29"/>
      <c r="T167" s="29"/>
      <c r="V167" s="29"/>
      <c r="X167" s="29"/>
      <c r="Y167" s="29"/>
      <c r="Z167" s="29"/>
    </row>
    <row r="168" spans="1:26" ht="15" thickBot="1">
      <c r="A168" s="49">
        <v>44969</v>
      </c>
      <c r="B168" s="29" t="s">
        <v>240</v>
      </c>
      <c r="C168" s="29" t="s">
        <v>316</v>
      </c>
      <c r="D168" s="29" t="s">
        <v>247</v>
      </c>
      <c r="E168" s="29" t="s">
        <v>6</v>
      </c>
      <c r="F168" s="29" t="s">
        <v>259</v>
      </c>
      <c r="G168" s="29" t="s">
        <v>299</v>
      </c>
      <c r="H168" s="32">
        <v>1</v>
      </c>
      <c r="I168" s="32">
        <v>4541.7700000000004</v>
      </c>
      <c r="J168" s="32">
        <v>4541.7700000000004</v>
      </c>
      <c r="K168" s="29"/>
      <c r="M168" s="29"/>
      <c r="N168" s="29"/>
      <c r="P168" s="29"/>
      <c r="Q168" s="29"/>
      <c r="S168" s="29"/>
      <c r="T168" s="29"/>
      <c r="V168" s="29"/>
      <c r="X168" s="29"/>
      <c r="Y168" s="29"/>
      <c r="Z168" s="29"/>
    </row>
    <row r="169" spans="1:26" ht="15" thickBot="1">
      <c r="A169" s="49">
        <v>44988</v>
      </c>
      <c r="B169" s="29" t="s">
        <v>260</v>
      </c>
      <c r="C169" s="29" t="s">
        <v>273</v>
      </c>
      <c r="D169" s="29" t="s">
        <v>252</v>
      </c>
      <c r="E169" s="29" t="s">
        <v>5</v>
      </c>
      <c r="F169" s="29" t="s">
        <v>259</v>
      </c>
      <c r="G169" s="29" t="s">
        <v>182</v>
      </c>
      <c r="H169" s="32">
        <v>9</v>
      </c>
      <c r="I169" s="32">
        <v>3122.72</v>
      </c>
      <c r="J169" s="32">
        <v>28104.48</v>
      </c>
      <c r="K169" s="29"/>
      <c r="M169" s="29"/>
      <c r="N169" s="29"/>
      <c r="P169" s="29"/>
      <c r="Q169" s="29"/>
      <c r="S169" s="29"/>
      <c r="T169" s="29"/>
      <c r="V169" s="29"/>
      <c r="X169" s="29"/>
      <c r="Y169" s="29"/>
      <c r="Z169" s="29"/>
    </row>
    <row r="170" spans="1:26" ht="15" thickBot="1">
      <c r="A170" s="32" t="s">
        <v>357</v>
      </c>
      <c r="B170" s="29" t="s">
        <v>257</v>
      </c>
      <c r="C170" s="29" t="s">
        <v>249</v>
      </c>
      <c r="D170" s="29" t="s">
        <v>232</v>
      </c>
      <c r="E170" s="29" t="s">
        <v>6</v>
      </c>
      <c r="F170" s="29" t="s">
        <v>238</v>
      </c>
      <c r="G170" s="29" t="s">
        <v>296</v>
      </c>
      <c r="H170" s="32">
        <v>9</v>
      </c>
      <c r="I170" s="32">
        <v>4198.92</v>
      </c>
      <c r="J170" s="32">
        <v>37790.28</v>
      </c>
      <c r="K170" s="29"/>
      <c r="M170" s="29"/>
      <c r="N170" s="29"/>
      <c r="P170" s="29"/>
      <c r="Q170" s="29"/>
      <c r="S170" s="29"/>
      <c r="T170" s="29"/>
      <c r="V170" s="29"/>
      <c r="X170" s="29"/>
      <c r="Y170" s="29"/>
      <c r="Z170" s="29"/>
    </row>
    <row r="171" spans="1:26" ht="15" thickBot="1">
      <c r="A171" s="49">
        <v>45019</v>
      </c>
      <c r="B171" s="29" t="s">
        <v>254</v>
      </c>
      <c r="C171" s="29" t="s">
        <v>236</v>
      </c>
      <c r="D171" s="29" t="s">
        <v>237</v>
      </c>
      <c r="E171" s="29" t="s">
        <v>8</v>
      </c>
      <c r="F171" s="29" t="s">
        <v>233</v>
      </c>
      <c r="G171" s="29" t="s">
        <v>301</v>
      </c>
      <c r="H171" s="32">
        <v>17</v>
      </c>
      <c r="I171" s="32">
        <v>4415.8500000000004</v>
      </c>
      <c r="J171" s="32">
        <v>75069.45</v>
      </c>
      <c r="K171" s="29"/>
      <c r="M171" s="29"/>
      <c r="N171" s="29"/>
      <c r="P171" s="29"/>
      <c r="Q171" s="29"/>
      <c r="S171" s="29"/>
      <c r="T171" s="29"/>
      <c r="V171" s="29"/>
      <c r="X171" s="29"/>
      <c r="Y171" s="29"/>
      <c r="Z171" s="29"/>
    </row>
    <row r="172" spans="1:26" ht="15" thickBot="1">
      <c r="A172" s="32" t="s">
        <v>365</v>
      </c>
      <c r="B172" s="29" t="s">
        <v>271</v>
      </c>
      <c r="C172" s="29" t="s">
        <v>241</v>
      </c>
      <c r="D172" s="29" t="s">
        <v>242</v>
      </c>
      <c r="E172" s="29" t="s">
        <v>8</v>
      </c>
      <c r="F172" s="29" t="s">
        <v>250</v>
      </c>
      <c r="G172" s="29" t="s">
        <v>284</v>
      </c>
      <c r="H172" s="32">
        <v>16</v>
      </c>
      <c r="I172" s="32">
        <v>4684.8599999999997</v>
      </c>
      <c r="J172" s="32">
        <v>74957.759999999995</v>
      </c>
      <c r="K172" s="29"/>
      <c r="M172" s="29"/>
      <c r="N172" s="29"/>
      <c r="P172" s="29"/>
      <c r="Q172" s="29"/>
      <c r="S172" s="29"/>
      <c r="T172" s="29"/>
      <c r="V172" s="29"/>
      <c r="X172" s="29"/>
      <c r="Y172" s="29"/>
      <c r="Z172" s="29"/>
    </row>
    <row r="173" spans="1:26" ht="15" thickBot="1">
      <c r="A173" s="32" t="s">
        <v>253</v>
      </c>
      <c r="B173" s="29" t="s">
        <v>240</v>
      </c>
      <c r="C173" s="29" t="s">
        <v>241</v>
      </c>
      <c r="D173" s="29" t="s">
        <v>242</v>
      </c>
      <c r="E173" s="29" t="s">
        <v>8</v>
      </c>
      <c r="F173" s="29" t="s">
        <v>233</v>
      </c>
      <c r="G173" s="29" t="s">
        <v>287</v>
      </c>
      <c r="H173" s="32">
        <v>17</v>
      </c>
      <c r="I173" s="32">
        <v>4156.25</v>
      </c>
      <c r="J173" s="32">
        <v>70656.25</v>
      </c>
      <c r="K173" s="29"/>
      <c r="M173" s="29"/>
      <c r="N173" s="29"/>
      <c r="P173" s="29"/>
      <c r="Q173" s="29"/>
      <c r="S173" s="29"/>
      <c r="T173" s="29"/>
      <c r="V173" s="29"/>
      <c r="X173" s="29"/>
      <c r="Y173" s="29"/>
      <c r="Z173" s="29"/>
    </row>
    <row r="174" spans="1:26" ht="15" thickBot="1">
      <c r="A174" s="49">
        <v>45051</v>
      </c>
      <c r="B174" s="29" t="s">
        <v>240</v>
      </c>
      <c r="C174" s="29" t="s">
        <v>236</v>
      </c>
      <c r="D174" s="29" t="s">
        <v>237</v>
      </c>
      <c r="E174" s="29" t="s">
        <v>8</v>
      </c>
      <c r="F174" s="29" t="s">
        <v>238</v>
      </c>
      <c r="G174" s="29" t="s">
        <v>296</v>
      </c>
      <c r="H174" s="32">
        <v>10</v>
      </c>
      <c r="I174" s="32">
        <v>3776.8</v>
      </c>
      <c r="J174" s="32">
        <v>37768</v>
      </c>
      <c r="K174" s="29"/>
      <c r="M174" s="29"/>
      <c r="N174" s="29"/>
      <c r="P174" s="29"/>
      <c r="Q174" s="29"/>
      <c r="S174" s="29"/>
      <c r="T174" s="29"/>
      <c r="V174" s="29"/>
      <c r="X174" s="29"/>
      <c r="Y174" s="29"/>
      <c r="Z174" s="29"/>
    </row>
    <row r="175" spans="1:26" ht="15" thickBot="1">
      <c r="A175" s="32" t="s">
        <v>297</v>
      </c>
      <c r="B175" s="29" t="s">
        <v>268</v>
      </c>
      <c r="C175" s="29" t="s">
        <v>276</v>
      </c>
      <c r="D175" s="29" t="s">
        <v>247</v>
      </c>
      <c r="E175" s="29" t="s">
        <v>6</v>
      </c>
      <c r="F175" s="29" t="s">
        <v>259</v>
      </c>
      <c r="G175" s="29" t="s">
        <v>179</v>
      </c>
      <c r="H175" s="32">
        <v>8</v>
      </c>
      <c r="I175" s="32">
        <v>310.33</v>
      </c>
      <c r="J175" s="32">
        <v>2482.64</v>
      </c>
      <c r="K175" s="29"/>
      <c r="M175" s="29"/>
      <c r="N175" s="29"/>
      <c r="P175" s="29"/>
      <c r="Q175" s="29"/>
      <c r="S175" s="29"/>
      <c r="T175" s="29"/>
      <c r="V175" s="29"/>
      <c r="X175" s="29"/>
      <c r="Y175" s="29"/>
      <c r="Z175" s="29"/>
    </row>
    <row r="176" spans="1:26" ht="15" thickBot="1">
      <c r="A176" s="49">
        <v>45051</v>
      </c>
      <c r="B176" s="29" t="s">
        <v>254</v>
      </c>
      <c r="C176" s="29" t="s">
        <v>316</v>
      </c>
      <c r="D176" s="29" t="s">
        <v>247</v>
      </c>
      <c r="E176" s="29" t="s">
        <v>6</v>
      </c>
      <c r="F176" s="29" t="s">
        <v>250</v>
      </c>
      <c r="G176" s="29" t="s">
        <v>277</v>
      </c>
      <c r="H176" s="32">
        <v>5</v>
      </c>
      <c r="I176" s="32">
        <v>1313.4</v>
      </c>
      <c r="J176" s="32">
        <v>6567</v>
      </c>
      <c r="K176" s="29"/>
      <c r="M176" s="29"/>
      <c r="N176" s="29"/>
      <c r="P176" s="29"/>
      <c r="Q176" s="29"/>
      <c r="S176" s="29"/>
      <c r="T176" s="29"/>
      <c r="V176" s="29"/>
      <c r="X176" s="29"/>
      <c r="Y176" s="29"/>
      <c r="Z176" s="29"/>
    </row>
    <row r="177" spans="1:26" ht="15" thickBot="1">
      <c r="A177" s="32" t="s">
        <v>366</v>
      </c>
      <c r="B177" s="29" t="s">
        <v>280</v>
      </c>
      <c r="C177" s="29" t="s">
        <v>231</v>
      </c>
      <c r="D177" s="29" t="s">
        <v>232</v>
      </c>
      <c r="E177" s="29" t="s">
        <v>6</v>
      </c>
      <c r="F177" s="29" t="s">
        <v>250</v>
      </c>
      <c r="G177" s="29" t="s">
        <v>284</v>
      </c>
      <c r="H177" s="32">
        <v>6</v>
      </c>
      <c r="I177" s="32">
        <v>2332.11</v>
      </c>
      <c r="J177" s="32">
        <v>13992.66</v>
      </c>
      <c r="K177" s="29"/>
      <c r="M177" s="29"/>
      <c r="N177" s="29"/>
      <c r="P177" s="29"/>
      <c r="Q177" s="29"/>
      <c r="S177" s="29"/>
      <c r="T177" s="29"/>
      <c r="V177" s="29"/>
      <c r="X177" s="29"/>
      <c r="Y177" s="29"/>
      <c r="Z177" s="29"/>
    </row>
    <row r="178" spans="1:26" ht="15" thickBot="1">
      <c r="A178" s="32" t="s">
        <v>367</v>
      </c>
      <c r="B178" s="29" t="s">
        <v>235</v>
      </c>
      <c r="C178" s="29" t="s">
        <v>313</v>
      </c>
      <c r="D178" s="29" t="s">
        <v>252</v>
      </c>
      <c r="E178" s="29" t="s">
        <v>5</v>
      </c>
      <c r="F178" s="29" t="s">
        <v>238</v>
      </c>
      <c r="G178" s="29" t="s">
        <v>303</v>
      </c>
      <c r="H178" s="32">
        <v>3</v>
      </c>
      <c r="I178" s="32">
        <v>4955.22</v>
      </c>
      <c r="J178" s="32">
        <v>14865.66</v>
      </c>
      <c r="K178" s="29"/>
      <c r="M178" s="29"/>
      <c r="N178" s="29"/>
      <c r="P178" s="29"/>
      <c r="Q178" s="29"/>
      <c r="S178" s="29"/>
      <c r="T178" s="29"/>
      <c r="V178" s="29"/>
      <c r="X178" s="29"/>
      <c r="Y178" s="29"/>
      <c r="Z178" s="29"/>
    </row>
    <row r="179" spans="1:26" ht="15" thickBot="1">
      <c r="A179" s="32" t="s">
        <v>368</v>
      </c>
      <c r="B179" s="29" t="s">
        <v>235</v>
      </c>
      <c r="C179" s="29" t="s">
        <v>231</v>
      </c>
      <c r="D179" s="29" t="s">
        <v>232</v>
      </c>
      <c r="E179" s="29" t="s">
        <v>6</v>
      </c>
      <c r="F179" s="29" t="s">
        <v>233</v>
      </c>
      <c r="G179" s="29" t="s">
        <v>234</v>
      </c>
      <c r="H179" s="32">
        <v>17</v>
      </c>
      <c r="I179" s="32">
        <v>3827.64</v>
      </c>
      <c r="J179" s="32">
        <v>65069.88</v>
      </c>
      <c r="K179" s="29"/>
      <c r="M179" s="29"/>
      <c r="N179" s="29"/>
      <c r="P179" s="29"/>
      <c r="Q179" s="29"/>
      <c r="S179" s="29"/>
      <c r="T179" s="29"/>
      <c r="V179" s="29"/>
      <c r="X179" s="29"/>
      <c r="Y179" s="29"/>
      <c r="Z179" s="29"/>
    </row>
    <row r="180" spans="1:26" ht="15" thickBot="1">
      <c r="A180" s="49">
        <v>45025</v>
      </c>
      <c r="B180" s="29" t="s">
        <v>230</v>
      </c>
      <c r="C180" s="29" t="s">
        <v>276</v>
      </c>
      <c r="D180" s="29" t="s">
        <v>247</v>
      </c>
      <c r="E180" s="29" t="s">
        <v>6</v>
      </c>
      <c r="F180" s="29" t="s">
        <v>245</v>
      </c>
      <c r="G180" s="29" t="s">
        <v>246</v>
      </c>
      <c r="H180" s="32">
        <v>17</v>
      </c>
      <c r="I180" s="32">
        <v>3857.33</v>
      </c>
      <c r="J180" s="32">
        <v>65574.61</v>
      </c>
      <c r="K180" s="29"/>
      <c r="M180" s="29"/>
      <c r="N180" s="29"/>
      <c r="P180" s="29"/>
      <c r="Q180" s="29"/>
      <c r="S180" s="29"/>
      <c r="T180" s="29"/>
      <c r="V180" s="29"/>
      <c r="X180" s="29"/>
      <c r="Y180" s="29"/>
      <c r="Z180" s="29"/>
    </row>
    <row r="181" spans="1:26" ht="15" thickBot="1">
      <c r="A181" s="32" t="s">
        <v>369</v>
      </c>
      <c r="B181" s="29" t="s">
        <v>240</v>
      </c>
      <c r="C181" s="29" t="s">
        <v>244</v>
      </c>
      <c r="D181" s="29" t="s">
        <v>237</v>
      </c>
      <c r="E181" s="29" t="s">
        <v>8</v>
      </c>
      <c r="F181" s="29" t="s">
        <v>245</v>
      </c>
      <c r="G181" s="29" t="s">
        <v>269</v>
      </c>
      <c r="H181" s="32">
        <v>8</v>
      </c>
      <c r="I181" s="32">
        <v>1421.21</v>
      </c>
      <c r="J181" s="32">
        <v>11369.68</v>
      </c>
      <c r="K181" s="29"/>
      <c r="M181" s="29"/>
      <c r="N181" s="29"/>
      <c r="P181" s="29"/>
      <c r="Q181" s="29"/>
      <c r="S181" s="29"/>
      <c r="T181" s="29"/>
      <c r="V181" s="29"/>
      <c r="X181" s="29"/>
      <c r="Y181" s="29"/>
      <c r="Z181" s="29"/>
    </row>
    <row r="182" spans="1:26" ht="15" thickBot="1">
      <c r="A182" s="32" t="s">
        <v>370</v>
      </c>
      <c r="B182" s="29" t="s">
        <v>235</v>
      </c>
      <c r="C182" s="29" t="s">
        <v>249</v>
      </c>
      <c r="D182" s="29" t="s">
        <v>232</v>
      </c>
      <c r="E182" s="29" t="s">
        <v>6</v>
      </c>
      <c r="F182" s="29" t="s">
        <v>250</v>
      </c>
      <c r="G182" s="29" t="s">
        <v>293</v>
      </c>
      <c r="H182" s="32">
        <v>1</v>
      </c>
      <c r="I182" s="32">
        <v>1544.87</v>
      </c>
      <c r="J182" s="32">
        <v>1544.87</v>
      </c>
      <c r="K182" s="29"/>
      <c r="M182" s="29"/>
      <c r="N182" s="29"/>
      <c r="P182" s="29"/>
      <c r="Q182" s="29"/>
      <c r="S182" s="29"/>
      <c r="T182" s="29"/>
      <c r="V182" s="29"/>
      <c r="X182" s="29"/>
      <c r="Y182" s="29"/>
      <c r="Z182" s="29"/>
    </row>
    <row r="183" spans="1:26" ht="15" thickBot="1">
      <c r="A183" s="32" t="s">
        <v>371</v>
      </c>
      <c r="B183" s="29" t="s">
        <v>240</v>
      </c>
      <c r="C183" s="29" t="s">
        <v>276</v>
      </c>
      <c r="D183" s="29" t="s">
        <v>247</v>
      </c>
      <c r="E183" s="29" t="s">
        <v>6</v>
      </c>
      <c r="F183" s="29" t="s">
        <v>250</v>
      </c>
      <c r="G183" s="29" t="s">
        <v>284</v>
      </c>
      <c r="H183" s="32">
        <v>14</v>
      </c>
      <c r="I183" s="32">
        <v>2764.71</v>
      </c>
      <c r="J183" s="32">
        <v>38705.94</v>
      </c>
      <c r="K183" s="29"/>
      <c r="M183" s="29"/>
      <c r="N183" s="29"/>
      <c r="P183" s="29"/>
      <c r="Q183" s="29"/>
      <c r="S183" s="29"/>
      <c r="T183" s="29"/>
      <c r="V183" s="29"/>
      <c r="X183" s="29"/>
      <c r="Y183" s="29"/>
      <c r="Z183" s="29"/>
    </row>
    <row r="184" spans="1:26" ht="15" thickBot="1">
      <c r="A184" s="49">
        <v>45023</v>
      </c>
      <c r="B184" s="29" t="s">
        <v>257</v>
      </c>
      <c r="C184" s="29" t="s">
        <v>258</v>
      </c>
      <c r="D184" s="29" t="s">
        <v>242</v>
      </c>
      <c r="E184" s="29" t="s">
        <v>8</v>
      </c>
      <c r="F184" s="29" t="s">
        <v>245</v>
      </c>
      <c r="G184" s="29" t="s">
        <v>246</v>
      </c>
      <c r="H184" s="32">
        <v>9</v>
      </c>
      <c r="I184" s="32">
        <v>2210.8000000000002</v>
      </c>
      <c r="J184" s="32">
        <v>19897.2</v>
      </c>
      <c r="K184" s="29"/>
      <c r="M184" s="29"/>
      <c r="N184" s="29"/>
      <c r="P184" s="29"/>
      <c r="Q184" s="29"/>
      <c r="S184" s="29"/>
      <c r="T184" s="29"/>
      <c r="V184" s="29"/>
      <c r="X184" s="29"/>
      <c r="Y184" s="29"/>
      <c r="Z184" s="29"/>
    </row>
    <row r="185" spans="1:26" ht="15" thickBot="1">
      <c r="A185" s="49">
        <v>44958</v>
      </c>
      <c r="B185" s="29" t="s">
        <v>240</v>
      </c>
      <c r="C185" s="29" t="s">
        <v>255</v>
      </c>
      <c r="D185" s="29" t="s">
        <v>237</v>
      </c>
      <c r="E185" s="29" t="s">
        <v>8</v>
      </c>
      <c r="F185" s="29" t="s">
        <v>233</v>
      </c>
      <c r="G185" s="29" t="s">
        <v>304</v>
      </c>
      <c r="H185" s="32">
        <v>3</v>
      </c>
      <c r="I185" s="32">
        <v>4359.8999999999996</v>
      </c>
      <c r="J185" s="32">
        <v>13079.7</v>
      </c>
      <c r="K185" s="29"/>
      <c r="M185" s="29"/>
      <c r="N185" s="29"/>
      <c r="P185" s="29"/>
      <c r="Q185" s="29"/>
      <c r="S185" s="29"/>
      <c r="T185" s="29"/>
      <c r="V185" s="29"/>
      <c r="X185" s="29"/>
      <c r="Y185" s="29"/>
      <c r="Z185" s="29"/>
    </row>
    <row r="186" spans="1:26" ht="15" thickBot="1">
      <c r="A186" s="32" t="s">
        <v>286</v>
      </c>
      <c r="B186" s="29" t="s">
        <v>268</v>
      </c>
      <c r="C186" s="29" t="s">
        <v>241</v>
      </c>
      <c r="D186" s="29" t="s">
        <v>242</v>
      </c>
      <c r="E186" s="29" t="s">
        <v>8</v>
      </c>
      <c r="F186" s="29" t="s">
        <v>233</v>
      </c>
      <c r="G186" s="29" t="s">
        <v>234</v>
      </c>
      <c r="H186" s="32">
        <v>7</v>
      </c>
      <c r="I186" s="32">
        <v>3836.77</v>
      </c>
      <c r="J186" s="32">
        <v>26857.39</v>
      </c>
      <c r="K186" s="29"/>
      <c r="M186" s="29"/>
      <c r="N186" s="29"/>
      <c r="P186" s="29"/>
      <c r="Q186" s="29"/>
      <c r="S186" s="29"/>
      <c r="T186" s="29"/>
      <c r="V186" s="29"/>
      <c r="X186" s="29"/>
      <c r="Y186" s="29"/>
      <c r="Z186" s="29"/>
    </row>
    <row r="187" spans="1:26" ht="15" thickBot="1">
      <c r="A187" s="32" t="s">
        <v>372</v>
      </c>
      <c r="B187" s="29" t="s">
        <v>260</v>
      </c>
      <c r="C187" s="29" t="s">
        <v>276</v>
      </c>
      <c r="D187" s="29" t="s">
        <v>247</v>
      </c>
      <c r="E187" s="29" t="s">
        <v>6</v>
      </c>
      <c r="F187" s="29" t="s">
        <v>238</v>
      </c>
      <c r="G187" s="29" t="s">
        <v>296</v>
      </c>
      <c r="H187" s="32">
        <v>7</v>
      </c>
      <c r="I187" s="32">
        <v>560.58000000000004</v>
      </c>
      <c r="J187" s="32">
        <v>3924.06</v>
      </c>
      <c r="K187" s="29"/>
      <c r="M187" s="29"/>
      <c r="N187" s="29"/>
      <c r="P187" s="29"/>
      <c r="Q187" s="29"/>
      <c r="S187" s="29"/>
      <c r="T187" s="29"/>
      <c r="V187" s="29"/>
      <c r="X187" s="29"/>
      <c r="Y187" s="29"/>
      <c r="Z187" s="29"/>
    </row>
    <row r="188" spans="1:26" ht="15" thickBot="1">
      <c r="A188" s="49">
        <v>45266</v>
      </c>
      <c r="B188" s="29" t="s">
        <v>254</v>
      </c>
      <c r="C188" s="29" t="s">
        <v>273</v>
      </c>
      <c r="D188" s="29" t="s">
        <v>252</v>
      </c>
      <c r="E188" s="29" t="s">
        <v>5</v>
      </c>
      <c r="F188" s="29" t="s">
        <v>259</v>
      </c>
      <c r="G188" s="29" t="s">
        <v>179</v>
      </c>
      <c r="H188" s="32">
        <v>17</v>
      </c>
      <c r="I188" s="32">
        <v>1574.45</v>
      </c>
      <c r="J188" s="32">
        <v>26765.65</v>
      </c>
      <c r="K188" s="29"/>
      <c r="M188" s="29"/>
      <c r="N188" s="29"/>
      <c r="P188" s="29"/>
      <c r="Q188" s="29"/>
      <c r="S188" s="29"/>
      <c r="T188" s="29"/>
      <c r="V188" s="29"/>
      <c r="X188" s="29"/>
      <c r="Y188" s="29"/>
      <c r="Z188" s="29"/>
    </row>
    <row r="189" spans="1:26" ht="15" thickBot="1">
      <c r="A189" s="49">
        <v>44960</v>
      </c>
      <c r="B189" s="29" t="s">
        <v>248</v>
      </c>
      <c r="C189" s="29" t="s">
        <v>273</v>
      </c>
      <c r="D189" s="29" t="s">
        <v>252</v>
      </c>
      <c r="E189" s="29" t="s">
        <v>5</v>
      </c>
      <c r="F189" s="29" t="s">
        <v>233</v>
      </c>
      <c r="G189" s="29" t="s">
        <v>234</v>
      </c>
      <c r="H189" s="32">
        <v>17</v>
      </c>
      <c r="I189" s="32">
        <v>578.66999999999996</v>
      </c>
      <c r="J189" s="32">
        <v>9837.39</v>
      </c>
      <c r="K189" s="29"/>
      <c r="M189" s="29"/>
      <c r="N189" s="29"/>
      <c r="P189" s="29"/>
      <c r="Q189" s="29"/>
      <c r="S189" s="29"/>
      <c r="T189" s="29"/>
      <c r="V189" s="29"/>
      <c r="X189" s="29"/>
      <c r="Y189" s="29"/>
      <c r="Z189" s="29"/>
    </row>
    <row r="190" spans="1:26" ht="15" thickBot="1">
      <c r="A190" s="32" t="s">
        <v>319</v>
      </c>
      <c r="B190" s="29" t="s">
        <v>260</v>
      </c>
      <c r="C190" s="29" t="s">
        <v>236</v>
      </c>
      <c r="D190" s="29" t="s">
        <v>237</v>
      </c>
      <c r="E190" s="29" t="s">
        <v>8</v>
      </c>
      <c r="F190" s="29" t="s">
        <v>250</v>
      </c>
      <c r="G190" s="29" t="s">
        <v>251</v>
      </c>
      <c r="H190" s="32">
        <v>19</v>
      </c>
      <c r="I190" s="32">
        <v>1441.02</v>
      </c>
      <c r="J190" s="32">
        <v>27379.38</v>
      </c>
      <c r="K190" s="29"/>
      <c r="M190" s="29"/>
      <c r="N190" s="29"/>
      <c r="P190" s="29"/>
      <c r="Q190" s="29"/>
      <c r="S190" s="29"/>
      <c r="T190" s="29"/>
      <c r="V190" s="29"/>
      <c r="X190" s="29"/>
      <c r="Y190" s="29"/>
      <c r="Z190" s="29"/>
    </row>
    <row r="191" spans="1:26" ht="15" thickBot="1">
      <c r="A191" s="32" t="s">
        <v>373</v>
      </c>
      <c r="B191" s="29" t="s">
        <v>230</v>
      </c>
      <c r="C191" s="29" t="s">
        <v>255</v>
      </c>
      <c r="D191" s="29" t="s">
        <v>237</v>
      </c>
      <c r="E191" s="29" t="s">
        <v>8</v>
      </c>
      <c r="F191" s="29" t="s">
        <v>233</v>
      </c>
      <c r="G191" s="29" t="s">
        <v>301</v>
      </c>
      <c r="H191" s="32">
        <v>19</v>
      </c>
      <c r="I191" s="32">
        <v>618.02</v>
      </c>
      <c r="J191" s="32">
        <v>11742.38</v>
      </c>
      <c r="K191" s="29"/>
      <c r="M191" s="29"/>
      <c r="N191" s="29"/>
      <c r="P191" s="29"/>
      <c r="Q191" s="29"/>
      <c r="S191" s="29"/>
      <c r="T191" s="29"/>
      <c r="V191" s="29"/>
      <c r="X191" s="29"/>
      <c r="Y191" s="29"/>
      <c r="Z191" s="29"/>
    </row>
    <row r="192" spans="1:26" ht="15" thickBot="1">
      <c r="A192" s="32" t="s">
        <v>359</v>
      </c>
      <c r="B192" s="29" t="s">
        <v>268</v>
      </c>
      <c r="C192" s="29" t="s">
        <v>316</v>
      </c>
      <c r="D192" s="29" t="s">
        <v>247</v>
      </c>
      <c r="E192" s="29" t="s">
        <v>6</v>
      </c>
      <c r="F192" s="29" t="s">
        <v>238</v>
      </c>
      <c r="G192" s="29" t="s">
        <v>256</v>
      </c>
      <c r="H192" s="32">
        <v>15</v>
      </c>
      <c r="I192" s="32">
        <v>4093.93</v>
      </c>
      <c r="J192" s="32">
        <v>61408.95</v>
      </c>
      <c r="K192" s="29"/>
      <c r="M192" s="29"/>
      <c r="N192" s="29"/>
      <c r="P192" s="29"/>
      <c r="Q192" s="29"/>
      <c r="S192" s="29"/>
      <c r="T192" s="29"/>
      <c r="V192" s="29"/>
      <c r="X192" s="29"/>
      <c r="Y192" s="29"/>
      <c r="Z192" s="29"/>
    </row>
    <row r="193" spans="1:26" ht="15" thickBot="1">
      <c r="A193" s="32" t="s">
        <v>345</v>
      </c>
      <c r="B193" s="29" t="s">
        <v>235</v>
      </c>
      <c r="C193" s="29" t="s">
        <v>261</v>
      </c>
      <c r="D193" s="29" t="s">
        <v>247</v>
      </c>
      <c r="E193" s="29" t="s">
        <v>6</v>
      </c>
      <c r="F193" s="29" t="s">
        <v>233</v>
      </c>
      <c r="G193" s="29" t="s">
        <v>287</v>
      </c>
      <c r="H193" s="32">
        <v>16</v>
      </c>
      <c r="I193" s="32">
        <v>2714.37</v>
      </c>
      <c r="J193" s="32">
        <v>43429.919999999998</v>
      </c>
      <c r="K193" s="29"/>
      <c r="M193" s="29"/>
      <c r="N193" s="29"/>
      <c r="P193" s="29"/>
      <c r="Q193" s="29"/>
      <c r="S193" s="29"/>
      <c r="T193" s="29"/>
      <c r="V193" s="29"/>
      <c r="X193" s="29"/>
      <c r="Y193" s="29"/>
      <c r="Z193" s="29"/>
    </row>
    <row r="194" spans="1:26" ht="15" thickBot="1">
      <c r="A194" s="32" t="s">
        <v>344</v>
      </c>
      <c r="B194" s="29" t="s">
        <v>257</v>
      </c>
      <c r="C194" s="29" t="s">
        <v>316</v>
      </c>
      <c r="D194" s="29" t="s">
        <v>247</v>
      </c>
      <c r="E194" s="29" t="s">
        <v>6</v>
      </c>
      <c r="F194" s="29" t="s">
        <v>245</v>
      </c>
      <c r="G194" s="29" t="s">
        <v>246</v>
      </c>
      <c r="H194" s="32">
        <v>8</v>
      </c>
      <c r="I194" s="32">
        <v>4658.57</v>
      </c>
      <c r="J194" s="32">
        <v>37268.559999999998</v>
      </c>
      <c r="K194" s="29"/>
      <c r="M194" s="29"/>
      <c r="N194" s="29"/>
      <c r="P194" s="29"/>
      <c r="Q194" s="29"/>
      <c r="S194" s="29"/>
      <c r="T194" s="29"/>
      <c r="V194" s="29"/>
      <c r="X194" s="29"/>
      <c r="Y194" s="29"/>
      <c r="Z194" s="29"/>
    </row>
    <row r="195" spans="1:26" ht="15" thickBot="1">
      <c r="A195" s="49">
        <v>45268</v>
      </c>
      <c r="B195" s="29" t="s">
        <v>260</v>
      </c>
      <c r="C195" s="29" t="s">
        <v>231</v>
      </c>
      <c r="D195" s="29" t="s">
        <v>232</v>
      </c>
      <c r="E195" s="29" t="s">
        <v>6</v>
      </c>
      <c r="F195" s="29" t="s">
        <v>238</v>
      </c>
      <c r="G195" s="29" t="s">
        <v>303</v>
      </c>
      <c r="H195" s="32">
        <v>20</v>
      </c>
      <c r="I195" s="32">
        <v>3203.76</v>
      </c>
      <c r="J195" s="32">
        <v>64075.199999999997</v>
      </c>
      <c r="K195" s="29"/>
      <c r="M195" s="29"/>
      <c r="N195" s="29"/>
      <c r="P195" s="29"/>
      <c r="Q195" s="29"/>
      <c r="S195" s="29"/>
      <c r="T195" s="29"/>
      <c r="V195" s="29"/>
      <c r="X195" s="29"/>
      <c r="Y195" s="29"/>
      <c r="Z195" s="29"/>
    </row>
    <row r="196" spans="1:26" ht="15" thickBot="1">
      <c r="A196" s="32" t="s">
        <v>272</v>
      </c>
      <c r="B196" s="29" t="s">
        <v>260</v>
      </c>
      <c r="C196" s="29" t="s">
        <v>281</v>
      </c>
      <c r="D196" s="29" t="s">
        <v>252</v>
      </c>
      <c r="E196" s="29" t="s">
        <v>5</v>
      </c>
      <c r="F196" s="29" t="s">
        <v>259</v>
      </c>
      <c r="G196" s="29" t="s">
        <v>298</v>
      </c>
      <c r="H196" s="32">
        <v>5</v>
      </c>
      <c r="I196" s="32">
        <v>3572.02</v>
      </c>
      <c r="J196" s="32">
        <v>17860.099999999999</v>
      </c>
      <c r="K196" s="29"/>
      <c r="M196" s="29"/>
      <c r="N196" s="29"/>
      <c r="P196" s="29"/>
      <c r="Q196" s="29"/>
      <c r="S196" s="29"/>
      <c r="T196" s="29"/>
      <c r="V196" s="29"/>
      <c r="X196" s="29"/>
      <c r="Y196" s="29"/>
      <c r="Z196" s="29"/>
    </row>
    <row r="197" spans="1:26" ht="15" thickBot="1">
      <c r="A197" s="32" t="s">
        <v>374</v>
      </c>
      <c r="B197" s="29" t="s">
        <v>230</v>
      </c>
      <c r="C197" s="29" t="s">
        <v>276</v>
      </c>
      <c r="D197" s="29" t="s">
        <v>247</v>
      </c>
      <c r="E197" s="29" t="s">
        <v>6</v>
      </c>
      <c r="F197" s="29" t="s">
        <v>250</v>
      </c>
      <c r="G197" s="29" t="s">
        <v>293</v>
      </c>
      <c r="H197" s="32">
        <v>4</v>
      </c>
      <c r="I197" s="32">
        <v>328.82</v>
      </c>
      <c r="J197" s="32">
        <v>1315.28</v>
      </c>
      <c r="K197" s="29"/>
      <c r="M197" s="29"/>
      <c r="N197" s="29"/>
      <c r="P197" s="29"/>
      <c r="Q197" s="29"/>
      <c r="S197" s="29"/>
      <c r="T197" s="29"/>
      <c r="V197" s="29"/>
      <c r="X197" s="29"/>
      <c r="Y197" s="29"/>
      <c r="Z197" s="29"/>
    </row>
    <row r="198" spans="1:26" ht="15" thickBot="1">
      <c r="A198" s="49">
        <v>45083</v>
      </c>
      <c r="B198" s="29" t="s">
        <v>230</v>
      </c>
      <c r="C198" s="29" t="s">
        <v>313</v>
      </c>
      <c r="D198" s="29" t="s">
        <v>252</v>
      </c>
      <c r="E198" s="29" t="s">
        <v>5</v>
      </c>
      <c r="F198" s="29" t="s">
        <v>238</v>
      </c>
      <c r="G198" s="29" t="s">
        <v>256</v>
      </c>
      <c r="H198" s="32">
        <v>10</v>
      </c>
      <c r="I198" s="32">
        <v>4210.63</v>
      </c>
      <c r="J198" s="32">
        <v>42106.3</v>
      </c>
      <c r="K198" s="29"/>
      <c r="M198" s="29"/>
      <c r="N198" s="29"/>
      <c r="P198" s="29"/>
      <c r="Q198" s="29"/>
      <c r="S198" s="29"/>
      <c r="T198" s="29"/>
      <c r="V198" s="29"/>
      <c r="X198" s="29"/>
      <c r="Y198" s="29"/>
      <c r="Z198" s="29"/>
    </row>
    <row r="199" spans="1:26" ht="15" thickBot="1">
      <c r="A199" s="32" t="s">
        <v>375</v>
      </c>
      <c r="B199" s="29" t="s">
        <v>248</v>
      </c>
      <c r="C199" s="29" t="s">
        <v>241</v>
      </c>
      <c r="D199" s="29" t="s">
        <v>242</v>
      </c>
      <c r="E199" s="29" t="s">
        <v>8</v>
      </c>
      <c r="F199" s="29" t="s">
        <v>245</v>
      </c>
      <c r="G199" s="29" t="s">
        <v>246</v>
      </c>
      <c r="H199" s="32">
        <v>15</v>
      </c>
      <c r="I199" s="32">
        <v>211.9</v>
      </c>
      <c r="J199" s="32">
        <v>3178.5</v>
      </c>
      <c r="K199" s="29"/>
      <c r="M199" s="29"/>
      <c r="N199" s="29"/>
      <c r="P199" s="29"/>
      <c r="Q199" s="29"/>
      <c r="S199" s="29"/>
      <c r="T199" s="29"/>
      <c r="V199" s="29"/>
      <c r="X199" s="29"/>
      <c r="Y199" s="29"/>
      <c r="Z199" s="29"/>
    </row>
    <row r="200" spans="1:26" ht="15" thickBot="1">
      <c r="A200" s="32" t="s">
        <v>376</v>
      </c>
      <c r="B200" s="29" t="s">
        <v>280</v>
      </c>
      <c r="C200" s="29" t="s">
        <v>281</v>
      </c>
      <c r="D200" s="29" t="s">
        <v>252</v>
      </c>
      <c r="E200" s="29" t="s">
        <v>5</v>
      </c>
      <c r="F200" s="29" t="s">
        <v>233</v>
      </c>
      <c r="G200" s="29" t="s">
        <v>234</v>
      </c>
      <c r="H200" s="32">
        <v>6</v>
      </c>
      <c r="I200" s="32">
        <v>1847.42</v>
      </c>
      <c r="J200" s="32">
        <v>11084.52</v>
      </c>
      <c r="K200" s="29"/>
      <c r="M200" s="29"/>
      <c r="N200" s="29"/>
      <c r="P200" s="29"/>
      <c r="Q200" s="29"/>
      <c r="S200" s="29"/>
      <c r="T200" s="29"/>
      <c r="V200" s="29"/>
      <c r="X200" s="29"/>
      <c r="Y200" s="29"/>
      <c r="Z200" s="29"/>
    </row>
    <row r="201" spans="1:26" ht="15" thickBot="1">
      <c r="A201" s="32" t="s">
        <v>377</v>
      </c>
      <c r="B201" s="29" t="s">
        <v>235</v>
      </c>
      <c r="C201" s="29" t="s">
        <v>281</v>
      </c>
      <c r="D201" s="29" t="s">
        <v>252</v>
      </c>
      <c r="E201" s="29" t="s">
        <v>5</v>
      </c>
      <c r="F201" s="29" t="s">
        <v>250</v>
      </c>
      <c r="G201" s="29" t="s">
        <v>277</v>
      </c>
      <c r="H201" s="32">
        <v>15</v>
      </c>
      <c r="I201" s="32">
        <v>3875.6</v>
      </c>
      <c r="J201" s="32">
        <v>58134</v>
      </c>
      <c r="K201" s="29"/>
      <c r="M201" s="29"/>
      <c r="N201" s="29"/>
      <c r="P201" s="29"/>
      <c r="Q201" s="29"/>
      <c r="S201" s="29"/>
      <c r="T201" s="29"/>
      <c r="V201" s="29"/>
      <c r="X201" s="29"/>
      <c r="Y201" s="29"/>
      <c r="Z201" s="29"/>
    </row>
    <row r="202" spans="1:26" ht="15" thickBot="1">
      <c r="A202" s="32" t="s">
        <v>378</v>
      </c>
      <c r="B202" s="29" t="s">
        <v>257</v>
      </c>
      <c r="C202" s="29" t="s">
        <v>281</v>
      </c>
      <c r="D202" s="29" t="s">
        <v>252</v>
      </c>
      <c r="E202" s="29" t="s">
        <v>5</v>
      </c>
      <c r="F202" s="29" t="s">
        <v>238</v>
      </c>
      <c r="G202" s="29" t="s">
        <v>256</v>
      </c>
      <c r="H202" s="32">
        <v>1</v>
      </c>
      <c r="I202" s="32">
        <v>1323.63</v>
      </c>
      <c r="J202" s="32">
        <v>1323.63</v>
      </c>
      <c r="K202" s="29"/>
      <c r="M202" s="29"/>
      <c r="N202" s="29"/>
      <c r="P202" s="29"/>
      <c r="Q202" s="29"/>
      <c r="S202" s="29"/>
      <c r="T202" s="29"/>
      <c r="V202" s="29"/>
      <c r="X202" s="29"/>
      <c r="Y202" s="29"/>
      <c r="Z202" s="29"/>
    </row>
    <row r="203" spans="1:26" ht="15" thickBot="1">
      <c r="A203" s="49">
        <v>44988</v>
      </c>
      <c r="B203" s="29" t="s">
        <v>271</v>
      </c>
      <c r="C203" s="29" t="s">
        <v>276</v>
      </c>
      <c r="D203" s="29" t="s">
        <v>247</v>
      </c>
      <c r="E203" s="29" t="s">
        <v>6</v>
      </c>
      <c r="F203" s="29" t="s">
        <v>259</v>
      </c>
      <c r="G203" s="29" t="s">
        <v>298</v>
      </c>
      <c r="H203" s="32">
        <v>18</v>
      </c>
      <c r="I203" s="32">
        <v>3916.11</v>
      </c>
      <c r="J203" s="32">
        <v>70489.98</v>
      </c>
      <c r="K203" s="29"/>
      <c r="M203" s="29"/>
      <c r="N203" s="29"/>
      <c r="P203" s="29"/>
      <c r="Q203" s="29"/>
      <c r="S203" s="29"/>
      <c r="T203" s="29"/>
      <c r="V203" s="29"/>
      <c r="X203" s="29"/>
      <c r="Y203" s="29"/>
      <c r="Z203" s="29"/>
    </row>
    <row r="204" spans="1:26" ht="15" thickBot="1">
      <c r="A204" s="32" t="s">
        <v>379</v>
      </c>
      <c r="B204" s="29" t="s">
        <v>240</v>
      </c>
      <c r="C204" s="29" t="s">
        <v>261</v>
      </c>
      <c r="D204" s="29" t="s">
        <v>247</v>
      </c>
      <c r="E204" s="29" t="s">
        <v>6</v>
      </c>
      <c r="F204" s="29" t="s">
        <v>233</v>
      </c>
      <c r="G204" s="29" t="s">
        <v>301</v>
      </c>
      <c r="H204" s="32">
        <v>16</v>
      </c>
      <c r="I204" s="32">
        <v>4624.91</v>
      </c>
      <c r="J204" s="32">
        <v>73998.559999999998</v>
      </c>
      <c r="K204" s="29"/>
      <c r="M204" s="29"/>
      <c r="N204" s="29"/>
      <c r="P204" s="29"/>
      <c r="Q204" s="29"/>
      <c r="S204" s="29"/>
      <c r="T204" s="29"/>
      <c r="V204" s="29"/>
      <c r="X204" s="29"/>
      <c r="Y204" s="29"/>
      <c r="Z204" s="29"/>
    </row>
    <row r="205" spans="1:26" ht="15" thickBot="1">
      <c r="A205" s="32" t="s">
        <v>265</v>
      </c>
      <c r="B205" s="29" t="s">
        <v>240</v>
      </c>
      <c r="C205" s="29" t="s">
        <v>231</v>
      </c>
      <c r="D205" s="29" t="s">
        <v>232</v>
      </c>
      <c r="E205" s="29" t="s">
        <v>6</v>
      </c>
      <c r="F205" s="29" t="s">
        <v>238</v>
      </c>
      <c r="G205" s="29" t="s">
        <v>303</v>
      </c>
      <c r="H205" s="32">
        <v>8</v>
      </c>
      <c r="I205" s="32">
        <v>4091.1</v>
      </c>
      <c r="J205" s="32">
        <v>32728.799999999999</v>
      </c>
      <c r="K205" s="29"/>
      <c r="M205" s="29"/>
      <c r="N205" s="29"/>
      <c r="P205" s="29"/>
      <c r="Q205" s="29"/>
      <c r="S205" s="29"/>
      <c r="T205" s="29"/>
      <c r="V205" s="29"/>
      <c r="X205" s="29"/>
      <c r="Y205" s="29"/>
      <c r="Z205" s="29"/>
    </row>
    <row r="206" spans="1:26" ht="15" thickBot="1">
      <c r="A206" s="32" t="s">
        <v>380</v>
      </c>
      <c r="B206" s="29" t="s">
        <v>230</v>
      </c>
      <c r="C206" s="29" t="s">
        <v>231</v>
      </c>
      <c r="D206" s="29" t="s">
        <v>232</v>
      </c>
      <c r="E206" s="29" t="s">
        <v>6</v>
      </c>
      <c r="F206" s="29" t="s">
        <v>233</v>
      </c>
      <c r="G206" s="29" t="s">
        <v>301</v>
      </c>
      <c r="H206" s="32">
        <v>16</v>
      </c>
      <c r="I206" s="32">
        <v>3369.55</v>
      </c>
      <c r="J206" s="32">
        <v>53912.800000000003</v>
      </c>
      <c r="K206" s="29"/>
      <c r="M206" s="29"/>
      <c r="N206" s="29"/>
      <c r="P206" s="29"/>
      <c r="Q206" s="29"/>
      <c r="S206" s="29"/>
      <c r="T206" s="29"/>
      <c r="V206" s="29"/>
      <c r="X206" s="29"/>
      <c r="Y206" s="29"/>
      <c r="Z206" s="29"/>
    </row>
    <row r="207" spans="1:26" ht="15" thickBot="1">
      <c r="A207" s="49">
        <v>45209</v>
      </c>
      <c r="B207" s="29" t="s">
        <v>254</v>
      </c>
      <c r="C207" s="29" t="s">
        <v>283</v>
      </c>
      <c r="D207" s="29" t="s">
        <v>242</v>
      </c>
      <c r="E207" s="29" t="s">
        <v>8</v>
      </c>
      <c r="F207" s="29" t="s">
        <v>233</v>
      </c>
      <c r="G207" s="29" t="s">
        <v>287</v>
      </c>
      <c r="H207" s="32">
        <v>3</v>
      </c>
      <c r="I207" s="32">
        <v>3591.92</v>
      </c>
      <c r="J207" s="32">
        <v>10775.76</v>
      </c>
      <c r="K207" s="29"/>
      <c r="M207" s="29"/>
      <c r="N207" s="29"/>
      <c r="P207" s="29"/>
      <c r="Q207" s="29"/>
      <c r="S207" s="29"/>
      <c r="T207" s="29"/>
      <c r="V207" s="29"/>
      <c r="X207" s="29"/>
      <c r="Y207" s="29"/>
      <c r="Z207" s="29"/>
    </row>
    <row r="208" spans="1:26" ht="15" thickBot="1">
      <c r="A208" s="32" t="s">
        <v>381</v>
      </c>
      <c r="B208" s="29" t="s">
        <v>268</v>
      </c>
      <c r="C208" s="29" t="s">
        <v>249</v>
      </c>
      <c r="D208" s="29" t="s">
        <v>232</v>
      </c>
      <c r="E208" s="29" t="s">
        <v>6</v>
      </c>
      <c r="F208" s="29" t="s">
        <v>245</v>
      </c>
      <c r="G208" s="29" t="s">
        <v>246</v>
      </c>
      <c r="H208" s="32">
        <v>4</v>
      </c>
      <c r="I208" s="32">
        <v>4298.3500000000004</v>
      </c>
      <c r="J208" s="32">
        <v>17193.400000000001</v>
      </c>
      <c r="K208" s="29"/>
      <c r="M208" s="29"/>
      <c r="N208" s="29"/>
      <c r="P208" s="29"/>
      <c r="Q208" s="29"/>
      <c r="S208" s="29"/>
      <c r="T208" s="29"/>
      <c r="V208" s="29"/>
      <c r="X208" s="29"/>
      <c r="Y208" s="29"/>
      <c r="Z208" s="29"/>
    </row>
    <row r="209" spans="1:26" ht="15" thickBot="1">
      <c r="A209" s="49">
        <v>45115</v>
      </c>
      <c r="B209" s="29" t="s">
        <v>230</v>
      </c>
      <c r="C209" s="29" t="s">
        <v>276</v>
      </c>
      <c r="D209" s="29" t="s">
        <v>247</v>
      </c>
      <c r="E209" s="29" t="s">
        <v>6</v>
      </c>
      <c r="F209" s="29" t="s">
        <v>238</v>
      </c>
      <c r="G209" s="29" t="s">
        <v>296</v>
      </c>
      <c r="H209" s="32">
        <v>11</v>
      </c>
      <c r="I209" s="32">
        <v>3687.73</v>
      </c>
      <c r="J209" s="32">
        <v>40565.03</v>
      </c>
      <c r="K209" s="29"/>
      <c r="M209" s="29"/>
      <c r="N209" s="29"/>
      <c r="P209" s="29"/>
      <c r="Q209" s="29"/>
      <c r="S209" s="29"/>
      <c r="T209" s="29"/>
      <c r="V209" s="29"/>
      <c r="X209" s="29"/>
      <c r="Y209" s="29"/>
      <c r="Z209" s="29"/>
    </row>
    <row r="210" spans="1:26" ht="15" thickBot="1">
      <c r="A210" s="32" t="s">
        <v>366</v>
      </c>
      <c r="B210" s="29" t="s">
        <v>235</v>
      </c>
      <c r="C210" s="29" t="s">
        <v>261</v>
      </c>
      <c r="D210" s="29" t="s">
        <v>247</v>
      </c>
      <c r="E210" s="29" t="s">
        <v>6</v>
      </c>
      <c r="F210" s="29" t="s">
        <v>250</v>
      </c>
      <c r="G210" s="29" t="s">
        <v>293</v>
      </c>
      <c r="H210" s="32">
        <v>12</v>
      </c>
      <c r="I210" s="32">
        <v>548.36</v>
      </c>
      <c r="J210" s="32">
        <v>6580.32</v>
      </c>
      <c r="K210" s="29"/>
      <c r="M210" s="29"/>
      <c r="N210" s="29"/>
      <c r="P210" s="29"/>
      <c r="Q210" s="29"/>
      <c r="S210" s="29"/>
      <c r="T210" s="29"/>
      <c r="V210" s="29"/>
      <c r="X210" s="29"/>
      <c r="Y210" s="29"/>
      <c r="Z210" s="29"/>
    </row>
    <row r="211" spans="1:26" ht="15" thickBot="1">
      <c r="A211" s="49">
        <v>45175</v>
      </c>
      <c r="B211" s="29" t="s">
        <v>260</v>
      </c>
      <c r="C211" s="29" t="s">
        <v>241</v>
      </c>
      <c r="D211" s="29" t="s">
        <v>242</v>
      </c>
      <c r="E211" s="29" t="s">
        <v>8</v>
      </c>
      <c r="F211" s="29" t="s">
        <v>245</v>
      </c>
      <c r="G211" s="29" t="s">
        <v>246</v>
      </c>
      <c r="H211" s="32">
        <v>6</v>
      </c>
      <c r="I211" s="32">
        <v>3931.61</v>
      </c>
      <c r="J211" s="32">
        <v>23589.66</v>
      </c>
      <c r="K211" s="29"/>
      <c r="M211" s="29"/>
      <c r="N211" s="29"/>
      <c r="P211" s="29"/>
      <c r="Q211" s="29"/>
      <c r="S211" s="29"/>
      <c r="T211" s="29"/>
      <c r="V211" s="29"/>
      <c r="X211" s="29"/>
      <c r="Y211" s="29"/>
      <c r="Z211" s="29"/>
    </row>
    <row r="212" spans="1:26" ht="15" thickBot="1">
      <c r="A212" s="49">
        <v>45237</v>
      </c>
      <c r="B212" s="29" t="s">
        <v>230</v>
      </c>
      <c r="C212" s="29" t="s">
        <v>231</v>
      </c>
      <c r="D212" s="29" t="s">
        <v>232</v>
      </c>
      <c r="E212" s="29" t="s">
        <v>6</v>
      </c>
      <c r="F212" s="29" t="s">
        <v>245</v>
      </c>
      <c r="G212" s="29" t="s">
        <v>266</v>
      </c>
      <c r="H212" s="32">
        <v>18</v>
      </c>
      <c r="I212" s="32">
        <v>1120.0999999999999</v>
      </c>
      <c r="J212" s="32">
        <v>20161.8</v>
      </c>
      <c r="K212" s="29"/>
      <c r="M212" s="29"/>
      <c r="N212" s="29"/>
      <c r="P212" s="29"/>
      <c r="Q212" s="29"/>
      <c r="S212" s="29"/>
      <c r="T212" s="29"/>
      <c r="V212" s="29"/>
      <c r="X212" s="29"/>
      <c r="Y212" s="29"/>
      <c r="Z212" s="29"/>
    </row>
    <row r="213" spans="1:26" ht="15" thickBot="1">
      <c r="A213" s="32" t="s">
        <v>382</v>
      </c>
      <c r="B213" s="29" t="s">
        <v>271</v>
      </c>
      <c r="C213" s="29" t="s">
        <v>258</v>
      </c>
      <c r="D213" s="29" t="s">
        <v>242</v>
      </c>
      <c r="E213" s="29" t="s">
        <v>8</v>
      </c>
      <c r="F213" s="29" t="s">
        <v>238</v>
      </c>
      <c r="G213" s="29" t="s">
        <v>303</v>
      </c>
      <c r="H213" s="32">
        <v>11</v>
      </c>
      <c r="I213" s="32">
        <v>1473.35</v>
      </c>
      <c r="J213" s="32">
        <v>16206.85</v>
      </c>
      <c r="K213" s="29"/>
      <c r="M213" s="29"/>
      <c r="N213" s="29"/>
      <c r="P213" s="29"/>
      <c r="Q213" s="29"/>
      <c r="S213" s="29"/>
      <c r="T213" s="29"/>
      <c r="V213" s="29"/>
      <c r="X213" s="29"/>
      <c r="Y213" s="29"/>
      <c r="Z213" s="29"/>
    </row>
    <row r="214" spans="1:26" ht="15" thickBot="1">
      <c r="A214" s="32" t="s">
        <v>383</v>
      </c>
      <c r="B214" s="29" t="s">
        <v>248</v>
      </c>
      <c r="C214" s="29" t="s">
        <v>276</v>
      </c>
      <c r="D214" s="29" t="s">
        <v>247</v>
      </c>
      <c r="E214" s="29" t="s">
        <v>6</v>
      </c>
      <c r="F214" s="29" t="s">
        <v>259</v>
      </c>
      <c r="G214" s="29" t="s">
        <v>182</v>
      </c>
      <c r="H214" s="32">
        <v>6</v>
      </c>
      <c r="I214" s="32">
        <v>297.27</v>
      </c>
      <c r="J214" s="32">
        <v>1783.62</v>
      </c>
      <c r="K214" s="29"/>
      <c r="M214" s="29"/>
      <c r="N214" s="29"/>
      <c r="P214" s="29"/>
      <c r="Q214" s="29"/>
      <c r="S214" s="29"/>
      <c r="T214" s="29"/>
      <c r="V214" s="29"/>
      <c r="X214" s="29"/>
      <c r="Y214" s="29"/>
      <c r="Z214" s="29"/>
    </row>
    <row r="215" spans="1:26" ht="15" thickBot="1">
      <c r="A215" s="32" t="s">
        <v>384</v>
      </c>
      <c r="B215" s="29" t="s">
        <v>230</v>
      </c>
      <c r="C215" s="29" t="s">
        <v>249</v>
      </c>
      <c r="D215" s="29" t="s">
        <v>232</v>
      </c>
      <c r="E215" s="29" t="s">
        <v>6</v>
      </c>
      <c r="F215" s="29" t="s">
        <v>250</v>
      </c>
      <c r="G215" s="29" t="s">
        <v>277</v>
      </c>
      <c r="H215" s="32">
        <v>5</v>
      </c>
      <c r="I215" s="32">
        <v>4872.8900000000003</v>
      </c>
      <c r="J215" s="32">
        <v>24364.45</v>
      </c>
      <c r="K215" s="29"/>
      <c r="M215" s="29"/>
      <c r="N215" s="29"/>
      <c r="P215" s="29"/>
      <c r="Q215" s="29"/>
      <c r="S215" s="29"/>
      <c r="T215" s="29"/>
      <c r="V215" s="29"/>
      <c r="X215" s="29"/>
      <c r="Y215" s="29"/>
      <c r="Z215" s="29"/>
    </row>
    <row r="216" spans="1:26" ht="15" thickBot="1">
      <c r="A216" s="32" t="s">
        <v>335</v>
      </c>
      <c r="B216" s="29" t="s">
        <v>257</v>
      </c>
      <c r="C216" s="29" t="s">
        <v>273</v>
      </c>
      <c r="D216" s="29" t="s">
        <v>252</v>
      </c>
      <c r="E216" s="29" t="s">
        <v>5</v>
      </c>
      <c r="F216" s="29" t="s">
        <v>250</v>
      </c>
      <c r="G216" s="29" t="s">
        <v>284</v>
      </c>
      <c r="H216" s="32">
        <v>20</v>
      </c>
      <c r="I216" s="32">
        <v>4711.51</v>
      </c>
      <c r="J216" s="32">
        <v>94230.2</v>
      </c>
      <c r="K216" s="29"/>
      <c r="M216" s="29"/>
      <c r="N216" s="29"/>
      <c r="P216" s="29"/>
      <c r="Q216" s="29"/>
      <c r="S216" s="29"/>
      <c r="T216" s="29"/>
      <c r="V216" s="29"/>
      <c r="X216" s="29"/>
      <c r="Y216" s="29"/>
      <c r="Z216" s="29"/>
    </row>
    <row r="217" spans="1:26" ht="15" thickBot="1">
      <c r="A217" s="32" t="s">
        <v>342</v>
      </c>
      <c r="B217" s="29" t="s">
        <v>280</v>
      </c>
      <c r="C217" s="29" t="s">
        <v>276</v>
      </c>
      <c r="D217" s="29" t="s">
        <v>247</v>
      </c>
      <c r="E217" s="29" t="s">
        <v>6</v>
      </c>
      <c r="F217" s="29" t="s">
        <v>259</v>
      </c>
      <c r="G217" s="29" t="s">
        <v>182</v>
      </c>
      <c r="H217" s="32">
        <v>5</v>
      </c>
      <c r="I217" s="32">
        <v>4096.54</v>
      </c>
      <c r="J217" s="32">
        <v>20482.7</v>
      </c>
      <c r="K217" s="29"/>
      <c r="M217" s="29"/>
      <c r="N217" s="29"/>
      <c r="P217" s="29"/>
      <c r="Q217" s="29"/>
      <c r="S217" s="29"/>
      <c r="T217" s="29"/>
      <c r="V217" s="29"/>
      <c r="X217" s="29"/>
      <c r="Y217" s="29"/>
      <c r="Z217" s="29"/>
    </row>
    <row r="218" spans="1:26" ht="15" thickBot="1">
      <c r="A218" s="32" t="s">
        <v>243</v>
      </c>
      <c r="B218" s="29" t="s">
        <v>260</v>
      </c>
      <c r="C218" s="29" t="s">
        <v>273</v>
      </c>
      <c r="D218" s="29" t="s">
        <v>252</v>
      </c>
      <c r="E218" s="29" t="s">
        <v>5</v>
      </c>
      <c r="F218" s="29" t="s">
        <v>250</v>
      </c>
      <c r="G218" s="29" t="s">
        <v>284</v>
      </c>
      <c r="H218" s="32">
        <v>6</v>
      </c>
      <c r="I218" s="32">
        <v>830.82</v>
      </c>
      <c r="J218" s="32">
        <v>4984.92</v>
      </c>
      <c r="K218" s="29"/>
      <c r="M218" s="29"/>
      <c r="N218" s="29"/>
      <c r="P218" s="29"/>
      <c r="Q218" s="29"/>
      <c r="S218" s="29"/>
      <c r="T218" s="29"/>
      <c r="V218" s="29"/>
      <c r="X218" s="29"/>
      <c r="Y218" s="29"/>
      <c r="Z218" s="29"/>
    </row>
    <row r="219" spans="1:26" ht="15" thickBot="1">
      <c r="A219" s="49">
        <v>44992</v>
      </c>
      <c r="B219" s="29" t="s">
        <v>268</v>
      </c>
      <c r="C219" s="29" t="s">
        <v>281</v>
      </c>
      <c r="D219" s="29" t="s">
        <v>252</v>
      </c>
      <c r="E219" s="29" t="s">
        <v>5</v>
      </c>
      <c r="F219" s="29" t="s">
        <v>250</v>
      </c>
      <c r="G219" s="29" t="s">
        <v>251</v>
      </c>
      <c r="H219" s="32">
        <v>3</v>
      </c>
      <c r="I219" s="32">
        <v>4637.38</v>
      </c>
      <c r="J219" s="32">
        <v>13912.14</v>
      </c>
      <c r="K219" s="29"/>
      <c r="M219" s="29"/>
      <c r="N219" s="29"/>
      <c r="P219" s="29"/>
      <c r="Q219" s="29"/>
      <c r="S219" s="29"/>
      <c r="T219" s="29"/>
      <c r="V219" s="29"/>
      <c r="X219" s="29"/>
      <c r="Y219" s="29"/>
      <c r="Z219" s="29"/>
    </row>
    <row r="220" spans="1:26" ht="15" thickBot="1">
      <c r="A220" s="49">
        <v>44959</v>
      </c>
      <c r="B220" s="29" t="s">
        <v>271</v>
      </c>
      <c r="C220" s="29" t="s">
        <v>241</v>
      </c>
      <c r="D220" s="29" t="s">
        <v>242</v>
      </c>
      <c r="E220" s="29" t="s">
        <v>8</v>
      </c>
      <c r="F220" s="29" t="s">
        <v>238</v>
      </c>
      <c r="G220" s="29" t="s">
        <v>239</v>
      </c>
      <c r="H220" s="32">
        <v>5</v>
      </c>
      <c r="I220" s="32">
        <v>3770.1</v>
      </c>
      <c r="J220" s="32">
        <v>18850.5</v>
      </c>
      <c r="K220" s="29"/>
      <c r="M220" s="29"/>
      <c r="N220" s="29"/>
      <c r="P220" s="29"/>
      <c r="Q220" s="29"/>
      <c r="S220" s="29"/>
      <c r="T220" s="29"/>
      <c r="V220" s="29"/>
      <c r="X220" s="29"/>
      <c r="Y220" s="29"/>
      <c r="Z220" s="29"/>
    </row>
    <row r="221" spans="1:26" ht="15" thickBot="1">
      <c r="A221" s="32" t="s">
        <v>294</v>
      </c>
      <c r="B221" s="29" t="s">
        <v>254</v>
      </c>
      <c r="C221" s="29" t="s">
        <v>283</v>
      </c>
      <c r="D221" s="29" t="s">
        <v>242</v>
      </c>
      <c r="E221" s="29" t="s">
        <v>8</v>
      </c>
      <c r="F221" s="29" t="s">
        <v>250</v>
      </c>
      <c r="G221" s="29" t="s">
        <v>277</v>
      </c>
      <c r="H221" s="32">
        <v>20</v>
      </c>
      <c r="I221" s="32">
        <v>285.95999999999998</v>
      </c>
      <c r="J221" s="32">
        <v>5719.2</v>
      </c>
      <c r="K221" s="29"/>
      <c r="M221" s="29"/>
      <c r="N221" s="29"/>
      <c r="P221" s="29"/>
      <c r="Q221" s="29"/>
      <c r="S221" s="29"/>
      <c r="T221" s="29"/>
      <c r="V221" s="29"/>
      <c r="X221" s="29"/>
      <c r="Y221" s="29"/>
      <c r="Z221" s="29"/>
    </row>
    <row r="222" spans="1:26" ht="15" thickBot="1">
      <c r="A222" s="49">
        <v>45142</v>
      </c>
      <c r="B222" s="29" t="s">
        <v>257</v>
      </c>
      <c r="C222" s="29" t="s">
        <v>281</v>
      </c>
      <c r="D222" s="29" t="s">
        <v>252</v>
      </c>
      <c r="E222" s="29" t="s">
        <v>5</v>
      </c>
      <c r="F222" s="29" t="s">
        <v>233</v>
      </c>
      <c r="G222" s="29" t="s">
        <v>304</v>
      </c>
      <c r="H222" s="32">
        <v>6</v>
      </c>
      <c r="I222" s="32">
        <v>1912.36</v>
      </c>
      <c r="J222" s="32">
        <v>11474.16</v>
      </c>
      <c r="K222" s="29"/>
      <c r="M222" s="29"/>
      <c r="N222" s="29"/>
      <c r="P222" s="29"/>
      <c r="Q222" s="29"/>
      <c r="S222" s="29"/>
      <c r="T222" s="29"/>
      <c r="V222" s="29"/>
      <c r="X222" s="29"/>
      <c r="Y222" s="29"/>
      <c r="Z222" s="29"/>
    </row>
    <row r="223" spans="1:26" ht="15" thickBot="1">
      <c r="A223" s="32" t="s">
        <v>385</v>
      </c>
      <c r="B223" s="29" t="s">
        <v>235</v>
      </c>
      <c r="C223" s="29" t="s">
        <v>316</v>
      </c>
      <c r="D223" s="29" t="s">
        <v>247</v>
      </c>
      <c r="E223" s="29" t="s">
        <v>6</v>
      </c>
      <c r="F223" s="29" t="s">
        <v>245</v>
      </c>
      <c r="G223" s="29" t="s">
        <v>246</v>
      </c>
      <c r="H223" s="32">
        <v>19</v>
      </c>
      <c r="I223" s="32">
        <v>3648.27</v>
      </c>
      <c r="J223" s="32">
        <v>69317.13</v>
      </c>
      <c r="K223" s="29"/>
      <c r="M223" s="29"/>
      <c r="N223" s="29"/>
      <c r="P223" s="29"/>
      <c r="Q223" s="29"/>
      <c r="S223" s="29"/>
      <c r="T223" s="29"/>
      <c r="V223" s="29"/>
      <c r="X223" s="29"/>
      <c r="Y223" s="29"/>
      <c r="Z223" s="29"/>
    </row>
    <row r="224" spans="1:26" ht="15" thickBot="1">
      <c r="A224" s="49">
        <v>45022</v>
      </c>
      <c r="B224" s="29" t="s">
        <v>240</v>
      </c>
      <c r="C224" s="29" t="s">
        <v>241</v>
      </c>
      <c r="D224" s="29" t="s">
        <v>242</v>
      </c>
      <c r="E224" s="29" t="s">
        <v>8</v>
      </c>
      <c r="F224" s="29" t="s">
        <v>233</v>
      </c>
      <c r="G224" s="29" t="s">
        <v>301</v>
      </c>
      <c r="H224" s="32">
        <v>20</v>
      </c>
      <c r="I224" s="32">
        <v>473.23</v>
      </c>
      <c r="J224" s="32">
        <v>9464.6</v>
      </c>
      <c r="K224" s="29"/>
      <c r="M224" s="29"/>
      <c r="N224" s="29"/>
      <c r="P224" s="29"/>
      <c r="Q224" s="29"/>
      <c r="S224" s="29"/>
      <c r="T224" s="29"/>
      <c r="V224" s="29"/>
      <c r="X224" s="29"/>
      <c r="Y224" s="29"/>
      <c r="Z224" s="29"/>
    </row>
    <row r="225" spans="1:26" ht="15" thickBot="1">
      <c r="A225" s="32" t="s">
        <v>314</v>
      </c>
      <c r="B225" s="29" t="s">
        <v>230</v>
      </c>
      <c r="C225" s="29" t="s">
        <v>244</v>
      </c>
      <c r="D225" s="29" t="s">
        <v>237</v>
      </c>
      <c r="E225" s="29" t="s">
        <v>8</v>
      </c>
      <c r="F225" s="29" t="s">
        <v>259</v>
      </c>
      <c r="G225" s="29" t="s">
        <v>179</v>
      </c>
      <c r="H225" s="32">
        <v>16</v>
      </c>
      <c r="I225" s="32">
        <v>1870.47</v>
      </c>
      <c r="J225" s="32">
        <v>29927.52</v>
      </c>
      <c r="K225" s="29"/>
      <c r="M225" s="29"/>
      <c r="N225" s="29"/>
      <c r="P225" s="29"/>
      <c r="Q225" s="29"/>
      <c r="S225" s="29"/>
      <c r="T225" s="29"/>
      <c r="V225" s="29"/>
      <c r="X225" s="29"/>
      <c r="Y225" s="29"/>
      <c r="Z225" s="29"/>
    </row>
    <row r="226" spans="1:26" ht="15" thickBot="1">
      <c r="A226" s="32" t="s">
        <v>386</v>
      </c>
      <c r="B226" s="29" t="s">
        <v>260</v>
      </c>
      <c r="C226" s="29" t="s">
        <v>313</v>
      </c>
      <c r="D226" s="29" t="s">
        <v>252</v>
      </c>
      <c r="E226" s="29" t="s">
        <v>5</v>
      </c>
      <c r="F226" s="29" t="s">
        <v>250</v>
      </c>
      <c r="G226" s="29" t="s">
        <v>284</v>
      </c>
      <c r="H226" s="32">
        <v>18</v>
      </c>
      <c r="I226" s="32">
        <v>835.8</v>
      </c>
      <c r="J226" s="32">
        <v>15044.4</v>
      </c>
      <c r="K226" s="29"/>
      <c r="M226" s="29"/>
      <c r="N226" s="29"/>
      <c r="P226" s="29"/>
      <c r="Q226" s="29"/>
      <c r="S226" s="29"/>
      <c r="T226" s="29"/>
      <c r="V226" s="29"/>
      <c r="X226" s="29"/>
      <c r="Y226" s="29"/>
      <c r="Z226" s="29"/>
    </row>
    <row r="227" spans="1:26" ht="15" thickBot="1">
      <c r="A227" s="49">
        <v>44992</v>
      </c>
      <c r="B227" s="29" t="s">
        <v>280</v>
      </c>
      <c r="C227" s="29" t="s">
        <v>231</v>
      </c>
      <c r="D227" s="29" t="s">
        <v>232</v>
      </c>
      <c r="E227" s="29" t="s">
        <v>6</v>
      </c>
      <c r="F227" s="29" t="s">
        <v>238</v>
      </c>
      <c r="G227" s="29" t="s">
        <v>296</v>
      </c>
      <c r="H227" s="32">
        <v>18</v>
      </c>
      <c r="I227" s="32">
        <v>4850.91</v>
      </c>
      <c r="J227" s="32">
        <v>87316.38</v>
      </c>
      <c r="K227" s="29"/>
      <c r="M227" s="29"/>
      <c r="N227" s="29"/>
      <c r="P227" s="29"/>
      <c r="Q227" s="29"/>
      <c r="S227" s="29"/>
      <c r="T227" s="29"/>
      <c r="V227" s="29"/>
      <c r="X227" s="29"/>
      <c r="Y227" s="29"/>
      <c r="Z227" s="29"/>
    </row>
    <row r="228" spans="1:26" ht="15" thickBot="1">
      <c r="A228" s="32" t="s">
        <v>265</v>
      </c>
      <c r="B228" s="29" t="s">
        <v>240</v>
      </c>
      <c r="C228" s="29" t="s">
        <v>274</v>
      </c>
      <c r="D228" s="29" t="s">
        <v>232</v>
      </c>
      <c r="E228" s="29" t="s">
        <v>6</v>
      </c>
      <c r="F228" s="29" t="s">
        <v>233</v>
      </c>
      <c r="G228" s="29" t="s">
        <v>234</v>
      </c>
      <c r="H228" s="32">
        <v>10</v>
      </c>
      <c r="I228" s="32">
        <v>2200.91</v>
      </c>
      <c r="J228" s="32">
        <v>22009.1</v>
      </c>
      <c r="K228" s="29"/>
      <c r="M228" s="29"/>
      <c r="N228" s="29"/>
      <c r="P228" s="29"/>
      <c r="Q228" s="29"/>
      <c r="S228" s="29"/>
      <c r="T228" s="29"/>
      <c r="V228" s="29"/>
      <c r="X228" s="29"/>
      <c r="Y228" s="29"/>
      <c r="Z228" s="29"/>
    </row>
    <row r="229" spans="1:26" ht="15" thickBot="1">
      <c r="A229" s="49">
        <v>45211</v>
      </c>
      <c r="B229" s="29" t="s">
        <v>271</v>
      </c>
      <c r="C229" s="29" t="s">
        <v>258</v>
      </c>
      <c r="D229" s="29" t="s">
        <v>242</v>
      </c>
      <c r="E229" s="29" t="s">
        <v>8</v>
      </c>
      <c r="F229" s="29" t="s">
        <v>259</v>
      </c>
      <c r="G229" s="29" t="s">
        <v>179</v>
      </c>
      <c r="H229" s="32">
        <v>9</v>
      </c>
      <c r="I229" s="32">
        <v>1694.83</v>
      </c>
      <c r="J229" s="32">
        <v>15253.47</v>
      </c>
      <c r="K229" s="29"/>
      <c r="M229" s="29"/>
      <c r="N229" s="29"/>
      <c r="P229" s="29"/>
      <c r="Q229" s="29"/>
      <c r="S229" s="29"/>
      <c r="T229" s="29"/>
      <c r="V229" s="29"/>
      <c r="X229" s="29"/>
      <c r="Y229" s="29"/>
      <c r="Z229" s="29"/>
    </row>
    <row r="230" spans="1:26" ht="15" thickBot="1">
      <c r="A230" s="49">
        <v>45079</v>
      </c>
      <c r="B230" s="29" t="s">
        <v>280</v>
      </c>
      <c r="C230" s="29" t="s">
        <v>236</v>
      </c>
      <c r="D230" s="29" t="s">
        <v>237</v>
      </c>
      <c r="E230" s="29" t="s">
        <v>8</v>
      </c>
      <c r="F230" s="29" t="s">
        <v>233</v>
      </c>
      <c r="G230" s="29" t="s">
        <v>301</v>
      </c>
      <c r="H230" s="32">
        <v>10</v>
      </c>
      <c r="I230" s="32">
        <v>1229.56</v>
      </c>
      <c r="J230" s="32">
        <v>12295.6</v>
      </c>
      <c r="K230" s="29"/>
      <c r="M230" s="29"/>
      <c r="N230" s="29"/>
      <c r="P230" s="29"/>
      <c r="Q230" s="29"/>
      <c r="S230" s="29"/>
      <c r="T230" s="29"/>
      <c r="V230" s="29"/>
      <c r="X230" s="29"/>
      <c r="Y230" s="29"/>
      <c r="Z230" s="29"/>
    </row>
    <row r="231" spans="1:26" ht="15" thickBot="1">
      <c r="A231" s="32" t="s">
        <v>267</v>
      </c>
      <c r="B231" s="29" t="s">
        <v>280</v>
      </c>
      <c r="C231" s="29" t="s">
        <v>276</v>
      </c>
      <c r="D231" s="29" t="s">
        <v>247</v>
      </c>
      <c r="E231" s="29" t="s">
        <v>6</v>
      </c>
      <c r="F231" s="29" t="s">
        <v>250</v>
      </c>
      <c r="G231" s="29" t="s">
        <v>251</v>
      </c>
      <c r="H231" s="32">
        <v>14</v>
      </c>
      <c r="I231" s="32">
        <v>705.15</v>
      </c>
      <c r="J231" s="32">
        <v>9872.1</v>
      </c>
      <c r="K231" s="29"/>
      <c r="M231" s="29"/>
      <c r="N231" s="29"/>
      <c r="P231" s="29"/>
      <c r="Q231" s="29"/>
      <c r="S231" s="29"/>
      <c r="T231" s="29"/>
      <c r="V231" s="29"/>
      <c r="X231" s="29"/>
      <c r="Y231" s="29"/>
      <c r="Z231" s="29"/>
    </row>
    <row r="232" spans="1:26" ht="15" thickBot="1">
      <c r="A232" s="32" t="s">
        <v>387</v>
      </c>
      <c r="B232" s="29" t="s">
        <v>268</v>
      </c>
      <c r="C232" s="29" t="s">
        <v>281</v>
      </c>
      <c r="D232" s="29" t="s">
        <v>252</v>
      </c>
      <c r="E232" s="29" t="s">
        <v>5</v>
      </c>
      <c r="F232" s="29" t="s">
        <v>245</v>
      </c>
      <c r="G232" s="29" t="s">
        <v>266</v>
      </c>
      <c r="H232" s="32">
        <v>19</v>
      </c>
      <c r="I232" s="32">
        <v>3485.85</v>
      </c>
      <c r="J232" s="32">
        <v>66231.149999999994</v>
      </c>
      <c r="K232" s="29"/>
      <c r="M232" s="29"/>
      <c r="N232" s="29"/>
      <c r="P232" s="29"/>
      <c r="Q232" s="29"/>
      <c r="S232" s="29"/>
      <c r="T232" s="29"/>
      <c r="V232" s="29"/>
      <c r="X232" s="29"/>
      <c r="Y232" s="29"/>
      <c r="Z232" s="29"/>
    </row>
    <row r="233" spans="1:26" ht="15" thickBot="1">
      <c r="A233" s="32" t="s">
        <v>388</v>
      </c>
      <c r="B233" s="29" t="s">
        <v>235</v>
      </c>
      <c r="C233" s="29" t="s">
        <v>273</v>
      </c>
      <c r="D233" s="29" t="s">
        <v>252</v>
      </c>
      <c r="E233" s="29" t="s">
        <v>5</v>
      </c>
      <c r="F233" s="29" t="s">
        <v>259</v>
      </c>
      <c r="G233" s="29" t="s">
        <v>179</v>
      </c>
      <c r="H233" s="32">
        <v>10</v>
      </c>
      <c r="I233" s="32">
        <v>3633.26</v>
      </c>
      <c r="J233" s="32">
        <v>36332.6</v>
      </c>
      <c r="K233" s="29"/>
      <c r="M233" s="29"/>
      <c r="N233" s="29"/>
      <c r="P233" s="29"/>
      <c r="Q233" s="29"/>
      <c r="S233" s="29"/>
      <c r="T233" s="29"/>
      <c r="V233" s="29"/>
      <c r="X233" s="29"/>
      <c r="Y233" s="29"/>
      <c r="Z233" s="29"/>
    </row>
    <row r="234" spans="1:26" ht="15" thickBot="1">
      <c r="A234" s="49">
        <v>45208</v>
      </c>
      <c r="B234" s="29" t="s">
        <v>268</v>
      </c>
      <c r="C234" s="29" t="s">
        <v>231</v>
      </c>
      <c r="D234" s="29" t="s">
        <v>232</v>
      </c>
      <c r="E234" s="29" t="s">
        <v>6</v>
      </c>
      <c r="F234" s="29" t="s">
        <v>250</v>
      </c>
      <c r="G234" s="29" t="s">
        <v>293</v>
      </c>
      <c r="H234" s="32">
        <v>14</v>
      </c>
      <c r="I234" s="32">
        <v>1245.9000000000001</v>
      </c>
      <c r="J234" s="32">
        <v>17442.599999999999</v>
      </c>
      <c r="K234" s="29"/>
      <c r="M234" s="29"/>
      <c r="N234" s="29"/>
      <c r="P234" s="29"/>
      <c r="Q234" s="29"/>
      <c r="S234" s="29"/>
      <c r="T234" s="29"/>
      <c r="V234" s="29"/>
      <c r="X234" s="29"/>
      <c r="Y234" s="29"/>
      <c r="Z234" s="29"/>
    </row>
    <row r="235" spans="1:26" ht="15" thickBot="1">
      <c r="A235" s="32" t="s">
        <v>389</v>
      </c>
      <c r="B235" s="29" t="s">
        <v>248</v>
      </c>
      <c r="C235" s="29" t="s">
        <v>273</v>
      </c>
      <c r="D235" s="29" t="s">
        <v>252</v>
      </c>
      <c r="E235" s="29" t="s">
        <v>5</v>
      </c>
      <c r="F235" s="29" t="s">
        <v>233</v>
      </c>
      <c r="G235" s="29" t="s">
        <v>234</v>
      </c>
      <c r="H235" s="32">
        <v>4</v>
      </c>
      <c r="I235" s="32">
        <v>4553.5200000000004</v>
      </c>
      <c r="J235" s="32">
        <v>18214.080000000002</v>
      </c>
      <c r="K235" s="29"/>
      <c r="M235" s="29"/>
      <c r="N235" s="29"/>
      <c r="P235" s="29"/>
      <c r="Q235" s="29"/>
      <c r="S235" s="29"/>
      <c r="T235" s="29"/>
      <c r="V235" s="29"/>
      <c r="X235" s="29"/>
      <c r="Y235" s="29"/>
      <c r="Z235" s="29"/>
    </row>
    <row r="236" spans="1:26" ht="15" thickBot="1">
      <c r="A236" s="49">
        <v>45146</v>
      </c>
      <c r="B236" s="29" t="s">
        <v>235</v>
      </c>
      <c r="C236" s="29" t="s">
        <v>274</v>
      </c>
      <c r="D236" s="29" t="s">
        <v>232</v>
      </c>
      <c r="E236" s="29" t="s">
        <v>6</v>
      </c>
      <c r="F236" s="29" t="s">
        <v>233</v>
      </c>
      <c r="G236" s="29" t="s">
        <v>287</v>
      </c>
      <c r="H236" s="32">
        <v>3</v>
      </c>
      <c r="I236" s="32">
        <v>1417.18</v>
      </c>
      <c r="J236" s="32">
        <v>4251.54</v>
      </c>
      <c r="K236" s="29"/>
      <c r="M236" s="29"/>
      <c r="N236" s="29"/>
      <c r="P236" s="29"/>
      <c r="Q236" s="29"/>
      <c r="S236" s="29"/>
      <c r="T236" s="29"/>
      <c r="V236" s="29"/>
      <c r="X236" s="29"/>
      <c r="Y236" s="29"/>
      <c r="Z236" s="29"/>
    </row>
    <row r="237" spans="1:26" ht="15" thickBot="1">
      <c r="A237" s="32" t="s">
        <v>390</v>
      </c>
      <c r="B237" s="29" t="s">
        <v>257</v>
      </c>
      <c r="C237" s="29" t="s">
        <v>231</v>
      </c>
      <c r="D237" s="29" t="s">
        <v>232</v>
      </c>
      <c r="E237" s="29" t="s">
        <v>6</v>
      </c>
      <c r="F237" s="29" t="s">
        <v>259</v>
      </c>
      <c r="G237" s="29" t="s">
        <v>299</v>
      </c>
      <c r="H237" s="32">
        <v>7</v>
      </c>
      <c r="I237" s="32">
        <v>1249.3599999999999</v>
      </c>
      <c r="J237" s="32">
        <v>8745.52</v>
      </c>
      <c r="K237" s="29"/>
      <c r="M237" s="29"/>
      <c r="N237" s="29"/>
      <c r="P237" s="29"/>
      <c r="Q237" s="29"/>
      <c r="S237" s="29"/>
      <c r="T237" s="29"/>
      <c r="V237" s="29"/>
      <c r="X237" s="29"/>
      <c r="Y237" s="29"/>
      <c r="Z237" s="29"/>
    </row>
    <row r="238" spans="1:26" ht="15" thickBot="1">
      <c r="A238" s="32" t="s">
        <v>344</v>
      </c>
      <c r="B238" s="29" t="s">
        <v>254</v>
      </c>
      <c r="C238" s="29" t="s">
        <v>236</v>
      </c>
      <c r="D238" s="29" t="s">
        <v>237</v>
      </c>
      <c r="E238" s="29" t="s">
        <v>8</v>
      </c>
      <c r="F238" s="29" t="s">
        <v>245</v>
      </c>
      <c r="G238" s="29" t="s">
        <v>295</v>
      </c>
      <c r="H238" s="32">
        <v>7</v>
      </c>
      <c r="I238" s="32">
        <v>3911.96</v>
      </c>
      <c r="J238" s="32">
        <v>27383.72</v>
      </c>
      <c r="K238" s="29"/>
      <c r="M238" s="29"/>
      <c r="N238" s="29"/>
      <c r="P238" s="29"/>
      <c r="Q238" s="29"/>
      <c r="S238" s="29"/>
      <c r="T238" s="29"/>
      <c r="V238" s="29"/>
      <c r="X238" s="29"/>
      <c r="Y238" s="29"/>
      <c r="Z238" s="29"/>
    </row>
    <row r="239" spans="1:26" ht="15" thickBot="1">
      <c r="A239" s="32" t="s">
        <v>321</v>
      </c>
      <c r="B239" s="29" t="s">
        <v>248</v>
      </c>
      <c r="C239" s="29" t="s">
        <v>258</v>
      </c>
      <c r="D239" s="29" t="s">
        <v>242</v>
      </c>
      <c r="E239" s="29" t="s">
        <v>8</v>
      </c>
      <c r="F239" s="29" t="s">
        <v>245</v>
      </c>
      <c r="G239" s="29" t="s">
        <v>266</v>
      </c>
      <c r="H239" s="32">
        <v>4</v>
      </c>
      <c r="I239" s="32">
        <v>3087.87</v>
      </c>
      <c r="J239" s="32">
        <v>12351.48</v>
      </c>
      <c r="K239" s="29"/>
      <c r="M239" s="29"/>
      <c r="N239" s="29"/>
      <c r="P239" s="29"/>
      <c r="Q239" s="29"/>
      <c r="S239" s="29"/>
      <c r="T239" s="29"/>
      <c r="V239" s="29"/>
      <c r="X239" s="29"/>
      <c r="Y239" s="29"/>
      <c r="Z239" s="29"/>
    </row>
    <row r="240" spans="1:26" ht="15" thickBot="1">
      <c r="A240" s="49">
        <v>45241</v>
      </c>
      <c r="B240" s="29" t="s">
        <v>248</v>
      </c>
      <c r="C240" s="29" t="s">
        <v>231</v>
      </c>
      <c r="D240" s="29" t="s">
        <v>232</v>
      </c>
      <c r="E240" s="29" t="s">
        <v>6</v>
      </c>
      <c r="F240" s="29" t="s">
        <v>259</v>
      </c>
      <c r="G240" s="29" t="s">
        <v>299</v>
      </c>
      <c r="H240" s="32">
        <v>16</v>
      </c>
      <c r="I240" s="32">
        <v>628.15</v>
      </c>
      <c r="J240" s="32">
        <v>10050.4</v>
      </c>
      <c r="K240" s="29"/>
      <c r="M240" s="29"/>
      <c r="N240" s="29"/>
      <c r="P240" s="29"/>
      <c r="Q240" s="29"/>
      <c r="S240" s="29"/>
      <c r="T240" s="29"/>
      <c r="V240" s="29"/>
      <c r="X240" s="29"/>
      <c r="Y240" s="29"/>
      <c r="Z240" s="29"/>
    </row>
    <row r="241" spans="1:26" ht="15" thickBot="1">
      <c r="A241" s="32" t="s">
        <v>391</v>
      </c>
      <c r="B241" s="29" t="s">
        <v>257</v>
      </c>
      <c r="C241" s="29" t="s">
        <v>241</v>
      </c>
      <c r="D241" s="29" t="s">
        <v>242</v>
      </c>
      <c r="E241" s="29" t="s">
        <v>8</v>
      </c>
      <c r="F241" s="29" t="s">
        <v>250</v>
      </c>
      <c r="G241" s="29" t="s">
        <v>293</v>
      </c>
      <c r="H241" s="32">
        <v>15</v>
      </c>
      <c r="I241" s="32">
        <v>3100.61</v>
      </c>
      <c r="J241" s="32">
        <v>46509.15</v>
      </c>
      <c r="K241" s="29"/>
      <c r="M241" s="29"/>
      <c r="N241" s="29"/>
      <c r="P241" s="29"/>
      <c r="Q241" s="29"/>
      <c r="S241" s="29"/>
      <c r="T241" s="29"/>
      <c r="V241" s="29"/>
      <c r="X241" s="29"/>
      <c r="Y241" s="29"/>
      <c r="Z241" s="29"/>
    </row>
    <row r="242" spans="1:26" ht="15" thickBot="1">
      <c r="A242" s="32" t="s">
        <v>392</v>
      </c>
      <c r="B242" s="29" t="s">
        <v>235</v>
      </c>
      <c r="C242" s="29" t="s">
        <v>258</v>
      </c>
      <c r="D242" s="29" t="s">
        <v>242</v>
      </c>
      <c r="E242" s="29" t="s">
        <v>8</v>
      </c>
      <c r="F242" s="29" t="s">
        <v>245</v>
      </c>
      <c r="G242" s="29" t="s">
        <v>266</v>
      </c>
      <c r="H242" s="32">
        <v>10</v>
      </c>
      <c r="I242" s="32">
        <v>4017.66</v>
      </c>
      <c r="J242" s="32">
        <v>40176.6</v>
      </c>
      <c r="K242" s="29"/>
      <c r="M242" s="29"/>
      <c r="N242" s="29"/>
      <c r="P242" s="29"/>
      <c r="Q242" s="29"/>
      <c r="S242" s="29"/>
      <c r="T242" s="29"/>
      <c r="V242" s="29"/>
      <c r="X242" s="29"/>
      <c r="Y242" s="29"/>
      <c r="Z242" s="29"/>
    </row>
    <row r="243" spans="1:26" ht="15" thickBot="1">
      <c r="A243" s="32" t="s">
        <v>393</v>
      </c>
      <c r="B243" s="29" t="s">
        <v>235</v>
      </c>
      <c r="C243" s="29" t="s">
        <v>283</v>
      </c>
      <c r="D243" s="29" t="s">
        <v>242</v>
      </c>
      <c r="E243" s="29" t="s">
        <v>8</v>
      </c>
      <c r="F243" s="29" t="s">
        <v>233</v>
      </c>
      <c r="G243" s="29" t="s">
        <v>287</v>
      </c>
      <c r="H243" s="32">
        <v>3</v>
      </c>
      <c r="I243" s="32">
        <v>3389.2</v>
      </c>
      <c r="J243" s="32">
        <v>10167.6</v>
      </c>
      <c r="K243" s="29"/>
      <c r="M243" s="29"/>
      <c r="N243" s="29"/>
      <c r="P243" s="29"/>
      <c r="Q243" s="29"/>
      <c r="S243" s="29"/>
      <c r="T243" s="29"/>
      <c r="V243" s="29"/>
      <c r="X243" s="29"/>
      <c r="Y243" s="29"/>
      <c r="Z243" s="29"/>
    </row>
    <row r="244" spans="1:26" ht="15" thickBot="1">
      <c r="A244" s="32" t="s">
        <v>318</v>
      </c>
      <c r="B244" s="29" t="s">
        <v>240</v>
      </c>
      <c r="C244" s="29" t="s">
        <v>231</v>
      </c>
      <c r="D244" s="29" t="s">
        <v>232</v>
      </c>
      <c r="E244" s="29" t="s">
        <v>6</v>
      </c>
      <c r="F244" s="29" t="s">
        <v>250</v>
      </c>
      <c r="G244" s="29" t="s">
        <v>251</v>
      </c>
      <c r="H244" s="32">
        <v>20</v>
      </c>
      <c r="I244" s="32">
        <v>2441.83</v>
      </c>
      <c r="J244" s="32">
        <v>48836.6</v>
      </c>
      <c r="K244" s="29"/>
      <c r="M244" s="29"/>
      <c r="N244" s="29"/>
      <c r="P244" s="29"/>
      <c r="Q244" s="29"/>
      <c r="S244" s="29"/>
      <c r="T244" s="29"/>
      <c r="V244" s="29"/>
      <c r="X244" s="29"/>
      <c r="Y244" s="29"/>
      <c r="Z244" s="29"/>
    </row>
    <row r="245" spans="1:26" ht="15" thickBot="1">
      <c r="A245" s="49">
        <v>45181</v>
      </c>
      <c r="B245" s="29" t="s">
        <v>235</v>
      </c>
      <c r="C245" s="29" t="s">
        <v>313</v>
      </c>
      <c r="D245" s="29" t="s">
        <v>252</v>
      </c>
      <c r="E245" s="29" t="s">
        <v>5</v>
      </c>
      <c r="F245" s="29" t="s">
        <v>233</v>
      </c>
      <c r="G245" s="29" t="s">
        <v>301</v>
      </c>
      <c r="H245" s="32">
        <v>17</v>
      </c>
      <c r="I245" s="32">
        <v>2655.98</v>
      </c>
      <c r="J245" s="32">
        <v>45151.66</v>
      </c>
      <c r="K245" s="29"/>
      <c r="M245" s="29"/>
      <c r="N245" s="29"/>
      <c r="P245" s="29"/>
      <c r="Q245" s="29"/>
      <c r="S245" s="29"/>
      <c r="T245" s="29"/>
      <c r="V245" s="29"/>
      <c r="X245" s="29"/>
      <c r="Y245" s="29"/>
      <c r="Z245" s="29"/>
    </row>
    <row r="246" spans="1:26" ht="15" thickBot="1">
      <c r="A246" s="49">
        <v>44986</v>
      </c>
      <c r="B246" s="29" t="s">
        <v>235</v>
      </c>
      <c r="C246" s="29" t="s">
        <v>258</v>
      </c>
      <c r="D246" s="29" t="s">
        <v>242</v>
      </c>
      <c r="E246" s="29" t="s">
        <v>8</v>
      </c>
      <c r="F246" s="29" t="s">
        <v>259</v>
      </c>
      <c r="G246" s="29" t="s">
        <v>299</v>
      </c>
      <c r="H246" s="32">
        <v>3</v>
      </c>
      <c r="I246" s="32">
        <v>4908.74</v>
      </c>
      <c r="J246" s="32">
        <v>14726.22</v>
      </c>
      <c r="K246" s="29"/>
      <c r="M246" s="29"/>
      <c r="N246" s="29"/>
      <c r="P246" s="29"/>
      <c r="Q246" s="29"/>
      <c r="S246" s="29"/>
      <c r="T246" s="29"/>
      <c r="V246" s="29"/>
      <c r="X246" s="29"/>
      <c r="Y246" s="29"/>
      <c r="Z246" s="29"/>
    </row>
    <row r="247" spans="1:26" ht="15" thickBot="1">
      <c r="A247" s="32" t="s">
        <v>348</v>
      </c>
      <c r="B247" s="29" t="s">
        <v>268</v>
      </c>
      <c r="C247" s="29" t="s">
        <v>281</v>
      </c>
      <c r="D247" s="29" t="s">
        <v>252</v>
      </c>
      <c r="E247" s="29" t="s">
        <v>5</v>
      </c>
      <c r="F247" s="29" t="s">
        <v>259</v>
      </c>
      <c r="G247" s="29" t="s">
        <v>299</v>
      </c>
      <c r="H247" s="32">
        <v>13</v>
      </c>
      <c r="I247" s="32">
        <v>4121.8</v>
      </c>
      <c r="J247" s="32">
        <v>53583.4</v>
      </c>
      <c r="K247" s="29"/>
      <c r="M247" s="29"/>
      <c r="N247" s="29"/>
      <c r="P247" s="29"/>
      <c r="Q247" s="29"/>
      <c r="S247" s="29"/>
      <c r="T247" s="29"/>
      <c r="V247" s="29"/>
      <c r="X247" s="29"/>
      <c r="Y247" s="29"/>
      <c r="Z247" s="29"/>
    </row>
    <row r="248" spans="1:26" ht="15" thickBot="1">
      <c r="A248" s="49">
        <v>45080</v>
      </c>
      <c r="B248" s="29" t="s">
        <v>280</v>
      </c>
      <c r="C248" s="29" t="s">
        <v>231</v>
      </c>
      <c r="D248" s="29" t="s">
        <v>232</v>
      </c>
      <c r="E248" s="29" t="s">
        <v>6</v>
      </c>
      <c r="F248" s="29" t="s">
        <v>259</v>
      </c>
      <c r="G248" s="29" t="s">
        <v>299</v>
      </c>
      <c r="H248" s="32">
        <v>7</v>
      </c>
      <c r="I248" s="32">
        <v>2083.7800000000002</v>
      </c>
      <c r="J248" s="32">
        <v>14586.46</v>
      </c>
      <c r="K248" s="29"/>
      <c r="M248" s="29"/>
      <c r="N248" s="29"/>
      <c r="P248" s="29"/>
      <c r="Q248" s="29"/>
      <c r="S248" s="29"/>
      <c r="T248" s="29"/>
      <c r="V248" s="29"/>
      <c r="X248" s="29"/>
      <c r="Y248" s="29"/>
      <c r="Z248" s="29"/>
    </row>
    <row r="249" spans="1:26" ht="15" thickBot="1">
      <c r="A249" s="49">
        <v>45201</v>
      </c>
      <c r="B249" s="29" t="s">
        <v>257</v>
      </c>
      <c r="C249" s="29" t="s">
        <v>274</v>
      </c>
      <c r="D249" s="29" t="s">
        <v>232</v>
      </c>
      <c r="E249" s="29" t="s">
        <v>6</v>
      </c>
      <c r="F249" s="29" t="s">
        <v>245</v>
      </c>
      <c r="G249" s="29" t="s">
        <v>295</v>
      </c>
      <c r="H249" s="32">
        <v>4</v>
      </c>
      <c r="I249" s="32">
        <v>697.88</v>
      </c>
      <c r="J249" s="32">
        <v>2791.52</v>
      </c>
      <c r="K249" s="29"/>
      <c r="M249" s="29"/>
      <c r="N249" s="29"/>
      <c r="P249" s="29"/>
      <c r="Q249" s="29"/>
      <c r="S249" s="29"/>
      <c r="T249" s="29"/>
      <c r="V249" s="29"/>
      <c r="X249" s="29"/>
      <c r="Y249" s="29"/>
      <c r="Z249" s="29"/>
    </row>
    <row r="250" spans="1:26" ht="15" thickBot="1">
      <c r="A250" s="49">
        <v>44930</v>
      </c>
      <c r="B250" s="29" t="s">
        <v>280</v>
      </c>
      <c r="C250" s="29" t="s">
        <v>273</v>
      </c>
      <c r="D250" s="29" t="s">
        <v>252</v>
      </c>
      <c r="E250" s="29" t="s">
        <v>5</v>
      </c>
      <c r="F250" s="29" t="s">
        <v>259</v>
      </c>
      <c r="G250" s="29" t="s">
        <v>298</v>
      </c>
      <c r="H250" s="32">
        <v>3</v>
      </c>
      <c r="I250" s="32">
        <v>3754.7</v>
      </c>
      <c r="J250" s="32">
        <v>11264.1</v>
      </c>
      <c r="K250" s="29"/>
      <c r="M250" s="29"/>
      <c r="N250" s="29"/>
      <c r="P250" s="29"/>
      <c r="Q250" s="29"/>
      <c r="S250" s="29"/>
      <c r="T250" s="29"/>
      <c r="V250" s="29"/>
      <c r="X250" s="29"/>
      <c r="Y250" s="29"/>
      <c r="Z250" s="29"/>
    </row>
    <row r="251" spans="1:26" ht="15" thickBot="1">
      <c r="A251" s="32" t="s">
        <v>394</v>
      </c>
      <c r="B251" s="29" t="s">
        <v>240</v>
      </c>
      <c r="C251" s="29" t="s">
        <v>236</v>
      </c>
      <c r="D251" s="29" t="s">
        <v>237</v>
      </c>
      <c r="E251" s="29" t="s">
        <v>8</v>
      </c>
      <c r="F251" s="29" t="s">
        <v>233</v>
      </c>
      <c r="G251" s="29" t="s">
        <v>304</v>
      </c>
      <c r="H251" s="32">
        <v>20</v>
      </c>
      <c r="I251" s="32">
        <v>2449.44</v>
      </c>
      <c r="J251" s="32">
        <v>48988.800000000003</v>
      </c>
      <c r="K251" s="29"/>
      <c r="M251" s="29"/>
      <c r="N251" s="29"/>
      <c r="P251" s="29"/>
      <c r="Q251" s="29"/>
      <c r="S251" s="29"/>
      <c r="T251" s="29"/>
      <c r="V251" s="29"/>
      <c r="X251" s="29"/>
      <c r="Y251" s="29"/>
      <c r="Z251" s="29"/>
    </row>
    <row r="252" spans="1:26" ht="15" thickBot="1">
      <c r="A252" s="49">
        <v>44964</v>
      </c>
      <c r="B252" s="29" t="s">
        <v>248</v>
      </c>
      <c r="C252" s="29" t="s">
        <v>255</v>
      </c>
      <c r="D252" s="29" t="s">
        <v>237</v>
      </c>
      <c r="E252" s="29" t="s">
        <v>8</v>
      </c>
      <c r="F252" s="29" t="s">
        <v>259</v>
      </c>
      <c r="G252" s="29" t="s">
        <v>182</v>
      </c>
      <c r="H252" s="32">
        <v>6</v>
      </c>
      <c r="I252" s="32">
        <v>2862.86</v>
      </c>
      <c r="J252" s="32">
        <v>17177.16</v>
      </c>
      <c r="K252" s="29"/>
      <c r="M252" s="29"/>
      <c r="N252" s="29"/>
      <c r="P252" s="29"/>
      <c r="Q252" s="29"/>
      <c r="S252" s="29"/>
      <c r="T252" s="29"/>
      <c r="V252" s="29"/>
      <c r="X252" s="29"/>
      <c r="Y252" s="29"/>
      <c r="Z252" s="29"/>
    </row>
    <row r="253" spans="1:26" ht="15" thickBot="1">
      <c r="A253" s="32" t="s">
        <v>395</v>
      </c>
      <c r="B253" s="29" t="s">
        <v>260</v>
      </c>
      <c r="C253" s="29" t="s">
        <v>255</v>
      </c>
      <c r="D253" s="29" t="s">
        <v>237</v>
      </c>
      <c r="E253" s="29" t="s">
        <v>8</v>
      </c>
      <c r="F253" s="29" t="s">
        <v>238</v>
      </c>
      <c r="G253" s="29" t="s">
        <v>239</v>
      </c>
      <c r="H253" s="32">
        <v>4</v>
      </c>
      <c r="I253" s="32">
        <v>4795.3999999999996</v>
      </c>
      <c r="J253" s="32">
        <v>19181.599999999999</v>
      </c>
      <c r="K253" s="29"/>
      <c r="M253" s="29"/>
      <c r="N253" s="29"/>
      <c r="P253" s="29"/>
      <c r="Q253" s="29"/>
      <c r="S253" s="29"/>
      <c r="T253" s="29"/>
      <c r="V253" s="29"/>
      <c r="X253" s="29"/>
      <c r="Y253" s="29"/>
      <c r="Z253" s="29"/>
    </row>
    <row r="254" spans="1:26" ht="15" thickBot="1">
      <c r="A254" s="49">
        <v>45271</v>
      </c>
      <c r="B254" s="29" t="s">
        <v>260</v>
      </c>
      <c r="C254" s="29" t="s">
        <v>273</v>
      </c>
      <c r="D254" s="29" t="s">
        <v>252</v>
      </c>
      <c r="E254" s="29" t="s">
        <v>5</v>
      </c>
      <c r="F254" s="29" t="s">
        <v>233</v>
      </c>
      <c r="G254" s="29" t="s">
        <v>301</v>
      </c>
      <c r="H254" s="32">
        <v>3</v>
      </c>
      <c r="I254" s="32">
        <v>672.84</v>
      </c>
      <c r="J254" s="32">
        <v>2018.52</v>
      </c>
      <c r="K254" s="29"/>
      <c r="M254" s="29"/>
      <c r="N254" s="29"/>
      <c r="P254" s="29"/>
      <c r="Q254" s="29"/>
      <c r="S254" s="29"/>
      <c r="T254" s="29"/>
      <c r="V254" s="29"/>
      <c r="X254" s="29"/>
      <c r="Y254" s="29"/>
      <c r="Z254" s="29"/>
    </row>
    <row r="255" spans="1:26" ht="15" thickBot="1">
      <c r="A255" s="49">
        <v>45086</v>
      </c>
      <c r="B255" s="29" t="s">
        <v>280</v>
      </c>
      <c r="C255" s="29" t="s">
        <v>283</v>
      </c>
      <c r="D255" s="29" t="s">
        <v>242</v>
      </c>
      <c r="E255" s="29" t="s">
        <v>8</v>
      </c>
      <c r="F255" s="29" t="s">
        <v>233</v>
      </c>
      <c r="G255" s="29" t="s">
        <v>304</v>
      </c>
      <c r="H255" s="32">
        <v>5</v>
      </c>
      <c r="I255" s="32">
        <v>4423.53</v>
      </c>
      <c r="J255" s="32">
        <v>22117.65</v>
      </c>
      <c r="K255" s="29"/>
      <c r="M255" s="29"/>
      <c r="N255" s="29"/>
      <c r="P255" s="29"/>
      <c r="Q255" s="29"/>
      <c r="S255" s="29"/>
      <c r="T255" s="29"/>
      <c r="V255" s="29"/>
      <c r="X255" s="29"/>
      <c r="Y255" s="29"/>
      <c r="Z255" s="29"/>
    </row>
    <row r="256" spans="1:26" ht="15" thickBot="1">
      <c r="A256" s="49">
        <v>44990</v>
      </c>
      <c r="B256" s="29" t="s">
        <v>260</v>
      </c>
      <c r="C256" s="29" t="s">
        <v>255</v>
      </c>
      <c r="D256" s="29" t="s">
        <v>237</v>
      </c>
      <c r="E256" s="29" t="s">
        <v>8</v>
      </c>
      <c r="F256" s="29" t="s">
        <v>233</v>
      </c>
      <c r="G256" s="29" t="s">
        <v>304</v>
      </c>
      <c r="H256" s="32">
        <v>13</v>
      </c>
      <c r="I256" s="32">
        <v>1330.85</v>
      </c>
      <c r="J256" s="32">
        <v>17301.05</v>
      </c>
      <c r="K256" s="29"/>
      <c r="M256" s="29"/>
      <c r="N256" s="29"/>
      <c r="P256" s="29"/>
      <c r="Q256" s="29"/>
      <c r="S256" s="29"/>
      <c r="T256" s="29"/>
      <c r="V256" s="29"/>
      <c r="X256" s="29"/>
      <c r="Y256" s="29"/>
      <c r="Z256" s="29"/>
    </row>
    <row r="257" spans="1:26" ht="15" thickBot="1">
      <c r="A257" s="32" t="s">
        <v>396</v>
      </c>
      <c r="B257" s="29" t="s">
        <v>280</v>
      </c>
      <c r="C257" s="29" t="s">
        <v>231</v>
      </c>
      <c r="D257" s="29" t="s">
        <v>232</v>
      </c>
      <c r="E257" s="29" t="s">
        <v>6</v>
      </c>
      <c r="F257" s="29" t="s">
        <v>238</v>
      </c>
      <c r="G257" s="29" t="s">
        <v>296</v>
      </c>
      <c r="H257" s="32">
        <v>2</v>
      </c>
      <c r="I257" s="32">
        <v>1785.76</v>
      </c>
      <c r="J257" s="32">
        <v>3571.52</v>
      </c>
      <c r="K257" s="29"/>
      <c r="M257" s="29"/>
      <c r="N257" s="29"/>
      <c r="P257" s="29"/>
      <c r="Q257" s="29"/>
      <c r="S257" s="29"/>
      <c r="T257" s="29"/>
      <c r="V257" s="29"/>
      <c r="X257" s="29"/>
      <c r="Y257" s="29"/>
      <c r="Z257" s="29"/>
    </row>
    <row r="258" spans="1:26" ht="15" thickBot="1">
      <c r="A258" s="32" t="s">
        <v>397</v>
      </c>
      <c r="B258" s="29" t="s">
        <v>240</v>
      </c>
      <c r="C258" s="29" t="s">
        <v>273</v>
      </c>
      <c r="D258" s="29" t="s">
        <v>252</v>
      </c>
      <c r="E258" s="29" t="s">
        <v>5</v>
      </c>
      <c r="F258" s="29" t="s">
        <v>233</v>
      </c>
      <c r="G258" s="29" t="s">
        <v>301</v>
      </c>
      <c r="H258" s="32">
        <v>10</v>
      </c>
      <c r="I258" s="32">
        <v>505.39</v>
      </c>
      <c r="J258" s="32">
        <v>5053.8999999999996</v>
      </c>
      <c r="K258" s="29"/>
      <c r="M258" s="29"/>
      <c r="N258" s="29"/>
      <c r="P258" s="29"/>
      <c r="Q258" s="29"/>
      <c r="S258" s="29"/>
      <c r="T258" s="29"/>
      <c r="V258" s="29"/>
      <c r="X258" s="29"/>
      <c r="Y258" s="29"/>
      <c r="Z258" s="29"/>
    </row>
    <row r="259" spans="1:26" ht="15" thickBot="1">
      <c r="A259" s="32" t="s">
        <v>360</v>
      </c>
      <c r="B259" s="29" t="s">
        <v>254</v>
      </c>
      <c r="C259" s="29" t="s">
        <v>241</v>
      </c>
      <c r="D259" s="29" t="s">
        <v>242</v>
      </c>
      <c r="E259" s="29" t="s">
        <v>8</v>
      </c>
      <c r="F259" s="29" t="s">
        <v>259</v>
      </c>
      <c r="G259" s="29" t="s">
        <v>298</v>
      </c>
      <c r="H259" s="32">
        <v>1</v>
      </c>
      <c r="I259" s="32">
        <v>4966.8599999999997</v>
      </c>
      <c r="J259" s="32">
        <v>4966.8599999999997</v>
      </c>
      <c r="K259" s="29"/>
      <c r="M259" s="29"/>
      <c r="N259" s="29"/>
      <c r="P259" s="29"/>
      <c r="Q259" s="29"/>
      <c r="S259" s="29"/>
      <c r="T259" s="29"/>
      <c r="V259" s="29"/>
      <c r="X259" s="29"/>
      <c r="Y259" s="29"/>
      <c r="Z259" s="29"/>
    </row>
    <row r="260" spans="1:26" ht="15" thickBot="1">
      <c r="A260" s="32" t="s">
        <v>398</v>
      </c>
      <c r="B260" s="29" t="s">
        <v>240</v>
      </c>
      <c r="C260" s="29" t="s">
        <v>316</v>
      </c>
      <c r="D260" s="29" t="s">
        <v>247</v>
      </c>
      <c r="E260" s="29" t="s">
        <v>6</v>
      </c>
      <c r="F260" s="29" t="s">
        <v>233</v>
      </c>
      <c r="G260" s="29" t="s">
        <v>287</v>
      </c>
      <c r="H260" s="32">
        <v>5</v>
      </c>
      <c r="I260" s="32">
        <v>4988.76</v>
      </c>
      <c r="J260" s="32">
        <v>24943.8</v>
      </c>
      <c r="K260" s="29"/>
      <c r="M260" s="29"/>
      <c r="N260" s="29"/>
      <c r="P260" s="29"/>
      <c r="Q260" s="29"/>
      <c r="S260" s="29"/>
      <c r="T260" s="29"/>
      <c r="V260" s="29"/>
      <c r="X260" s="29"/>
      <c r="Y260" s="29"/>
      <c r="Z260" s="29"/>
    </row>
    <row r="261" spans="1:26" ht="15" thickBot="1">
      <c r="A261" s="32" t="s">
        <v>399</v>
      </c>
      <c r="B261" s="29" t="s">
        <v>257</v>
      </c>
      <c r="C261" s="29" t="s">
        <v>258</v>
      </c>
      <c r="D261" s="29" t="s">
        <v>242</v>
      </c>
      <c r="E261" s="29" t="s">
        <v>8</v>
      </c>
      <c r="F261" s="29" t="s">
        <v>259</v>
      </c>
      <c r="G261" s="29" t="s">
        <v>298</v>
      </c>
      <c r="H261" s="32">
        <v>18</v>
      </c>
      <c r="I261" s="32">
        <v>1745.63</v>
      </c>
      <c r="J261" s="32">
        <v>31421.34</v>
      </c>
      <c r="K261" s="29"/>
      <c r="M261" s="29"/>
      <c r="N261" s="29"/>
      <c r="P261" s="29"/>
      <c r="Q261" s="29"/>
      <c r="S261" s="29"/>
      <c r="T261" s="29"/>
      <c r="V261" s="29"/>
      <c r="X261" s="29"/>
      <c r="Y261" s="29"/>
      <c r="Z261" s="29"/>
    </row>
    <row r="262" spans="1:26" ht="15" thickBot="1">
      <c r="A262" s="32" t="s">
        <v>400</v>
      </c>
      <c r="B262" s="29" t="s">
        <v>240</v>
      </c>
      <c r="C262" s="29" t="s">
        <v>249</v>
      </c>
      <c r="D262" s="29" t="s">
        <v>232</v>
      </c>
      <c r="E262" s="29" t="s">
        <v>6</v>
      </c>
      <c r="F262" s="29" t="s">
        <v>245</v>
      </c>
      <c r="G262" s="29" t="s">
        <v>295</v>
      </c>
      <c r="H262" s="32">
        <v>2</v>
      </c>
      <c r="I262" s="32">
        <v>3024.56</v>
      </c>
      <c r="J262" s="32">
        <v>6049.12</v>
      </c>
      <c r="K262" s="29"/>
      <c r="M262" s="29"/>
      <c r="N262" s="29"/>
      <c r="P262" s="29"/>
      <c r="Q262" s="29"/>
      <c r="S262" s="29"/>
      <c r="T262" s="29"/>
      <c r="V262" s="29"/>
      <c r="X262" s="29"/>
      <c r="Y262" s="29"/>
      <c r="Z262" s="29"/>
    </row>
    <row r="263" spans="1:26" ht="15" thickBot="1">
      <c r="A263" s="49">
        <v>45083</v>
      </c>
      <c r="B263" s="29" t="s">
        <v>268</v>
      </c>
      <c r="C263" s="29" t="s">
        <v>236</v>
      </c>
      <c r="D263" s="29" t="s">
        <v>237</v>
      </c>
      <c r="E263" s="29" t="s">
        <v>8</v>
      </c>
      <c r="F263" s="29" t="s">
        <v>238</v>
      </c>
      <c r="G263" s="29" t="s">
        <v>256</v>
      </c>
      <c r="H263" s="32">
        <v>15</v>
      </c>
      <c r="I263" s="32">
        <v>4599.74</v>
      </c>
      <c r="J263" s="32">
        <v>68996.100000000006</v>
      </c>
      <c r="K263" s="29"/>
      <c r="M263" s="29"/>
      <c r="N263" s="29"/>
      <c r="P263" s="29"/>
      <c r="Q263" s="29"/>
      <c r="S263" s="29"/>
      <c r="T263" s="29"/>
      <c r="V263" s="29"/>
      <c r="X263" s="29"/>
      <c r="Y263" s="29"/>
      <c r="Z263" s="29"/>
    </row>
    <row r="264" spans="1:26" ht="15" thickBot="1">
      <c r="A264" s="32" t="s">
        <v>319</v>
      </c>
      <c r="B264" s="29" t="s">
        <v>240</v>
      </c>
      <c r="C264" s="29" t="s">
        <v>273</v>
      </c>
      <c r="D264" s="29" t="s">
        <v>252</v>
      </c>
      <c r="E264" s="29" t="s">
        <v>5</v>
      </c>
      <c r="F264" s="29" t="s">
        <v>250</v>
      </c>
      <c r="G264" s="29" t="s">
        <v>293</v>
      </c>
      <c r="H264" s="32">
        <v>18</v>
      </c>
      <c r="I264" s="32">
        <v>330.49</v>
      </c>
      <c r="J264" s="32">
        <v>5948.82</v>
      </c>
      <c r="K264" s="29"/>
      <c r="M264" s="29"/>
      <c r="N264" s="29"/>
      <c r="P264" s="29"/>
      <c r="Q264" s="29"/>
      <c r="S264" s="29"/>
      <c r="T264" s="29"/>
      <c r="V264" s="29"/>
      <c r="X264" s="29"/>
      <c r="Y264" s="29"/>
      <c r="Z264" s="29"/>
    </row>
    <row r="265" spans="1:26" ht="15" thickBot="1">
      <c r="A265" s="32" t="s">
        <v>401</v>
      </c>
      <c r="B265" s="29" t="s">
        <v>248</v>
      </c>
      <c r="C265" s="29" t="s">
        <v>283</v>
      </c>
      <c r="D265" s="29" t="s">
        <v>242</v>
      </c>
      <c r="E265" s="29" t="s">
        <v>8</v>
      </c>
      <c r="F265" s="29" t="s">
        <v>245</v>
      </c>
      <c r="G265" s="29" t="s">
        <v>246</v>
      </c>
      <c r="H265" s="32">
        <v>8</v>
      </c>
      <c r="I265" s="32">
        <v>4775.74</v>
      </c>
      <c r="J265" s="32">
        <v>38205.919999999998</v>
      </c>
      <c r="K265" s="29"/>
      <c r="M265" s="29"/>
      <c r="N265" s="29"/>
      <c r="P265" s="29"/>
      <c r="Q265" s="29"/>
      <c r="S265" s="29"/>
      <c r="T265" s="29"/>
      <c r="V265" s="29"/>
      <c r="X265" s="29"/>
      <c r="Y265" s="29"/>
      <c r="Z265" s="29"/>
    </row>
    <row r="266" spans="1:26" ht="15" thickBot="1">
      <c r="A266" s="32" t="s">
        <v>402</v>
      </c>
      <c r="B266" s="29" t="s">
        <v>280</v>
      </c>
      <c r="C266" s="29" t="s">
        <v>316</v>
      </c>
      <c r="D266" s="29" t="s">
        <v>247</v>
      </c>
      <c r="E266" s="29" t="s">
        <v>6</v>
      </c>
      <c r="F266" s="29" t="s">
        <v>238</v>
      </c>
      <c r="G266" s="29" t="s">
        <v>256</v>
      </c>
      <c r="H266" s="32">
        <v>16</v>
      </c>
      <c r="I266" s="32">
        <v>2329.86</v>
      </c>
      <c r="J266" s="32">
        <v>37277.760000000002</v>
      </c>
      <c r="K266" s="29"/>
      <c r="M266" s="29"/>
      <c r="N266" s="29"/>
      <c r="P266" s="29"/>
      <c r="Q266" s="29"/>
      <c r="S266" s="29"/>
      <c r="T266" s="29"/>
      <c r="V266" s="29"/>
      <c r="X266" s="29"/>
      <c r="Y266" s="29"/>
      <c r="Z266" s="29"/>
    </row>
    <row r="267" spans="1:26" ht="15" thickBot="1">
      <c r="A267" s="32" t="s">
        <v>344</v>
      </c>
      <c r="B267" s="29" t="s">
        <v>235</v>
      </c>
      <c r="C267" s="29" t="s">
        <v>261</v>
      </c>
      <c r="D267" s="29" t="s">
        <v>247</v>
      </c>
      <c r="E267" s="29" t="s">
        <v>6</v>
      </c>
      <c r="F267" s="29" t="s">
        <v>259</v>
      </c>
      <c r="G267" s="29" t="s">
        <v>179</v>
      </c>
      <c r="H267" s="32">
        <v>16</v>
      </c>
      <c r="I267" s="32">
        <v>1426.64</v>
      </c>
      <c r="J267" s="32">
        <v>22826.240000000002</v>
      </c>
      <c r="K267" s="29"/>
      <c r="M267" s="29"/>
      <c r="N267" s="29"/>
      <c r="P267" s="29"/>
      <c r="Q267" s="29"/>
      <c r="S267" s="29"/>
      <c r="T267" s="29"/>
      <c r="V267" s="29"/>
      <c r="X267" s="29"/>
      <c r="Y267" s="29"/>
      <c r="Z267" s="29"/>
    </row>
    <row r="268" spans="1:26" ht="15" thickBot="1">
      <c r="A268" s="32" t="s">
        <v>403</v>
      </c>
      <c r="B268" s="29" t="s">
        <v>254</v>
      </c>
      <c r="C268" s="29" t="s">
        <v>316</v>
      </c>
      <c r="D268" s="29" t="s">
        <v>247</v>
      </c>
      <c r="E268" s="29" t="s">
        <v>6</v>
      </c>
      <c r="F268" s="29" t="s">
        <v>245</v>
      </c>
      <c r="G268" s="29" t="s">
        <v>269</v>
      </c>
      <c r="H268" s="32">
        <v>8</v>
      </c>
      <c r="I268" s="32">
        <v>2663.16</v>
      </c>
      <c r="J268" s="32">
        <v>21305.279999999999</v>
      </c>
      <c r="K268" s="29"/>
      <c r="M268" s="29"/>
      <c r="N268" s="29"/>
      <c r="P268" s="29"/>
      <c r="Q268" s="29"/>
      <c r="S268" s="29"/>
      <c r="T268" s="29"/>
      <c r="V268" s="29"/>
      <c r="X268" s="29"/>
      <c r="Y268" s="29"/>
      <c r="Z268" s="29"/>
    </row>
    <row r="269" spans="1:26" ht="15" thickBot="1">
      <c r="A269" s="49">
        <v>45233</v>
      </c>
      <c r="B269" s="29" t="s">
        <v>271</v>
      </c>
      <c r="C269" s="29" t="s">
        <v>261</v>
      </c>
      <c r="D269" s="29" t="s">
        <v>247</v>
      </c>
      <c r="E269" s="29" t="s">
        <v>6</v>
      </c>
      <c r="F269" s="29" t="s">
        <v>245</v>
      </c>
      <c r="G269" s="29" t="s">
        <v>246</v>
      </c>
      <c r="H269" s="32">
        <v>20</v>
      </c>
      <c r="I269" s="32">
        <v>1690.56</v>
      </c>
      <c r="J269" s="32">
        <v>33811.199999999997</v>
      </c>
      <c r="K269" s="29"/>
      <c r="M269" s="29"/>
      <c r="N269" s="29"/>
      <c r="P269" s="29"/>
      <c r="Q269" s="29"/>
      <c r="S269" s="29"/>
      <c r="T269" s="29"/>
      <c r="V269" s="29"/>
      <c r="X269" s="29"/>
      <c r="Y269" s="29"/>
      <c r="Z269" s="29"/>
    </row>
    <row r="270" spans="1:26" ht="15" thickBot="1">
      <c r="A270" s="32" t="s">
        <v>404</v>
      </c>
      <c r="B270" s="29" t="s">
        <v>271</v>
      </c>
      <c r="C270" s="29" t="s">
        <v>274</v>
      </c>
      <c r="D270" s="29" t="s">
        <v>232</v>
      </c>
      <c r="E270" s="29" t="s">
        <v>6</v>
      </c>
      <c r="F270" s="29" t="s">
        <v>245</v>
      </c>
      <c r="G270" s="29" t="s">
        <v>246</v>
      </c>
      <c r="H270" s="32">
        <v>1</v>
      </c>
      <c r="I270" s="32">
        <v>776.08</v>
      </c>
      <c r="J270" s="32">
        <v>776.08</v>
      </c>
      <c r="K270" s="29"/>
      <c r="M270" s="29"/>
      <c r="N270" s="29"/>
      <c r="P270" s="29"/>
      <c r="Q270" s="29"/>
      <c r="S270" s="29"/>
      <c r="T270" s="29"/>
      <c r="V270" s="29"/>
      <c r="X270" s="29"/>
      <c r="Y270" s="29"/>
      <c r="Z270" s="29"/>
    </row>
    <row r="271" spans="1:26" ht="15" thickBot="1">
      <c r="A271" s="49">
        <v>44961</v>
      </c>
      <c r="B271" s="29" t="s">
        <v>235</v>
      </c>
      <c r="C271" s="29" t="s">
        <v>241</v>
      </c>
      <c r="D271" s="29" t="s">
        <v>242</v>
      </c>
      <c r="E271" s="29" t="s">
        <v>8</v>
      </c>
      <c r="F271" s="29" t="s">
        <v>250</v>
      </c>
      <c r="G271" s="29" t="s">
        <v>284</v>
      </c>
      <c r="H271" s="32">
        <v>3</v>
      </c>
      <c r="I271" s="32">
        <v>1435.01</v>
      </c>
      <c r="J271" s="32">
        <v>4305.03</v>
      </c>
      <c r="K271" s="29"/>
      <c r="M271" s="29"/>
      <c r="N271" s="29"/>
      <c r="P271" s="29"/>
      <c r="Q271" s="29"/>
      <c r="S271" s="29"/>
      <c r="T271" s="29"/>
      <c r="V271" s="29"/>
      <c r="X271" s="29"/>
      <c r="Y271" s="29"/>
      <c r="Z271" s="29"/>
    </row>
    <row r="272" spans="1:26" ht="15" thickBot="1">
      <c r="A272" s="49">
        <v>45116</v>
      </c>
      <c r="B272" s="29" t="s">
        <v>248</v>
      </c>
      <c r="C272" s="29" t="s">
        <v>276</v>
      </c>
      <c r="D272" s="29" t="s">
        <v>247</v>
      </c>
      <c r="E272" s="29" t="s">
        <v>6</v>
      </c>
      <c r="F272" s="29" t="s">
        <v>238</v>
      </c>
      <c r="G272" s="29" t="s">
        <v>296</v>
      </c>
      <c r="H272" s="32">
        <v>16</v>
      </c>
      <c r="I272" s="32">
        <v>1473.98</v>
      </c>
      <c r="J272" s="32">
        <v>23583.68</v>
      </c>
      <c r="K272" s="29"/>
      <c r="M272" s="29"/>
      <c r="N272" s="29"/>
      <c r="P272" s="29"/>
      <c r="Q272" s="29"/>
      <c r="S272" s="29"/>
      <c r="T272" s="29"/>
      <c r="V272" s="29"/>
      <c r="X272" s="29"/>
      <c r="Y272" s="29"/>
      <c r="Z272" s="29"/>
    </row>
    <row r="273" spans="1:26" ht="15" thickBot="1">
      <c r="A273" s="49">
        <v>45057</v>
      </c>
      <c r="B273" s="29" t="s">
        <v>271</v>
      </c>
      <c r="C273" s="29" t="s">
        <v>313</v>
      </c>
      <c r="D273" s="29" t="s">
        <v>252</v>
      </c>
      <c r="E273" s="29" t="s">
        <v>5</v>
      </c>
      <c r="F273" s="29" t="s">
        <v>233</v>
      </c>
      <c r="G273" s="29" t="s">
        <v>287</v>
      </c>
      <c r="H273" s="32">
        <v>6</v>
      </c>
      <c r="I273" s="32">
        <v>1822.86</v>
      </c>
      <c r="J273" s="32">
        <v>10937.16</v>
      </c>
      <c r="K273" s="29"/>
      <c r="M273" s="29"/>
      <c r="N273" s="29"/>
      <c r="P273" s="29"/>
      <c r="Q273" s="29"/>
      <c r="S273" s="29"/>
      <c r="T273" s="29"/>
      <c r="V273" s="29"/>
      <c r="X273" s="29"/>
      <c r="Y273" s="29"/>
      <c r="Z273" s="29"/>
    </row>
    <row r="274" spans="1:26" ht="15" thickBot="1">
      <c r="A274" s="49">
        <v>45079</v>
      </c>
      <c r="B274" s="29" t="s">
        <v>271</v>
      </c>
      <c r="C274" s="29" t="s">
        <v>244</v>
      </c>
      <c r="D274" s="29" t="s">
        <v>237</v>
      </c>
      <c r="E274" s="29" t="s">
        <v>8</v>
      </c>
      <c r="F274" s="29" t="s">
        <v>245</v>
      </c>
      <c r="G274" s="29" t="s">
        <v>266</v>
      </c>
      <c r="H274" s="32">
        <v>13</v>
      </c>
      <c r="I274" s="32">
        <v>739.6</v>
      </c>
      <c r="J274" s="32">
        <v>9614.7999999999993</v>
      </c>
      <c r="K274" s="29"/>
      <c r="M274" s="29"/>
      <c r="N274" s="29"/>
      <c r="P274" s="29"/>
      <c r="Q274" s="29"/>
      <c r="S274" s="29"/>
      <c r="T274" s="29"/>
      <c r="V274" s="29"/>
      <c r="X274" s="29"/>
      <c r="Y274" s="29"/>
      <c r="Z274" s="29"/>
    </row>
    <row r="275" spans="1:26" ht="15" thickBot="1">
      <c r="A275" s="49">
        <v>45172</v>
      </c>
      <c r="B275" s="29" t="s">
        <v>257</v>
      </c>
      <c r="C275" s="29" t="s">
        <v>261</v>
      </c>
      <c r="D275" s="29" t="s">
        <v>247</v>
      </c>
      <c r="E275" s="29" t="s">
        <v>6</v>
      </c>
      <c r="F275" s="29" t="s">
        <v>250</v>
      </c>
      <c r="G275" s="29" t="s">
        <v>293</v>
      </c>
      <c r="H275" s="32">
        <v>11</v>
      </c>
      <c r="I275" s="32">
        <v>4209.66</v>
      </c>
      <c r="J275" s="32">
        <v>46306.26</v>
      </c>
      <c r="K275" s="29"/>
      <c r="M275" s="29"/>
      <c r="N275" s="29"/>
      <c r="P275" s="29"/>
      <c r="Q275" s="29"/>
      <c r="S275" s="29"/>
      <c r="T275" s="29"/>
      <c r="V275" s="29"/>
      <c r="X275" s="29"/>
      <c r="Y275" s="29"/>
      <c r="Z275" s="29"/>
    </row>
    <row r="276" spans="1:26" ht="15" thickBot="1">
      <c r="A276" s="49">
        <v>44929</v>
      </c>
      <c r="B276" s="29" t="s">
        <v>235</v>
      </c>
      <c r="C276" s="29" t="s">
        <v>283</v>
      </c>
      <c r="D276" s="29" t="s">
        <v>242</v>
      </c>
      <c r="E276" s="29" t="s">
        <v>8</v>
      </c>
      <c r="F276" s="29" t="s">
        <v>259</v>
      </c>
      <c r="G276" s="29" t="s">
        <v>182</v>
      </c>
      <c r="H276" s="32">
        <v>8</v>
      </c>
      <c r="I276" s="32">
        <v>4105.17</v>
      </c>
      <c r="J276" s="32">
        <v>32841.360000000001</v>
      </c>
      <c r="K276" s="29"/>
      <c r="M276" s="29"/>
      <c r="N276" s="29"/>
      <c r="P276" s="29"/>
      <c r="Q276" s="29"/>
      <c r="S276" s="29"/>
      <c r="T276" s="29"/>
      <c r="V276" s="29"/>
      <c r="X276" s="29"/>
      <c r="Y276" s="29"/>
      <c r="Z276" s="29"/>
    </row>
    <row r="277" spans="1:26" ht="15" thickBot="1">
      <c r="A277" s="32" t="s">
        <v>318</v>
      </c>
      <c r="B277" s="29" t="s">
        <v>257</v>
      </c>
      <c r="C277" s="29" t="s">
        <v>273</v>
      </c>
      <c r="D277" s="29" t="s">
        <v>252</v>
      </c>
      <c r="E277" s="29" t="s">
        <v>5</v>
      </c>
      <c r="F277" s="29" t="s">
        <v>233</v>
      </c>
      <c r="G277" s="29" t="s">
        <v>234</v>
      </c>
      <c r="H277" s="32">
        <v>2</v>
      </c>
      <c r="I277" s="32">
        <v>4100.3999999999996</v>
      </c>
      <c r="J277" s="32">
        <v>8200.7999999999993</v>
      </c>
      <c r="K277" s="29"/>
      <c r="M277" s="29"/>
      <c r="N277" s="29"/>
      <c r="P277" s="29"/>
      <c r="Q277" s="29"/>
      <c r="S277" s="29"/>
      <c r="T277" s="29"/>
      <c r="V277" s="29"/>
      <c r="X277" s="29"/>
      <c r="Y277" s="29"/>
      <c r="Z277" s="29"/>
    </row>
    <row r="278" spans="1:26" ht="15" thickBot="1">
      <c r="A278" s="32" t="s">
        <v>333</v>
      </c>
      <c r="B278" s="29" t="s">
        <v>235</v>
      </c>
      <c r="C278" s="29" t="s">
        <v>236</v>
      </c>
      <c r="D278" s="29" t="s">
        <v>237</v>
      </c>
      <c r="E278" s="29" t="s">
        <v>8</v>
      </c>
      <c r="F278" s="29" t="s">
        <v>250</v>
      </c>
      <c r="G278" s="29" t="s">
        <v>251</v>
      </c>
      <c r="H278" s="32">
        <v>20</v>
      </c>
      <c r="I278" s="32">
        <v>2295.08</v>
      </c>
      <c r="J278" s="32">
        <v>45901.599999999999</v>
      </c>
      <c r="K278" s="29"/>
      <c r="M278" s="29"/>
      <c r="N278" s="29"/>
      <c r="P278" s="29"/>
      <c r="Q278" s="29"/>
      <c r="S278" s="29"/>
      <c r="T278" s="29"/>
      <c r="V278" s="29"/>
      <c r="X278" s="29"/>
      <c r="Y278" s="29"/>
      <c r="Z278" s="29"/>
    </row>
    <row r="279" spans="1:26" ht="15" thickBot="1">
      <c r="A279" s="49">
        <v>45241</v>
      </c>
      <c r="B279" s="29" t="s">
        <v>271</v>
      </c>
      <c r="C279" s="29" t="s">
        <v>249</v>
      </c>
      <c r="D279" s="29" t="s">
        <v>232</v>
      </c>
      <c r="E279" s="29" t="s">
        <v>6</v>
      </c>
      <c r="F279" s="29" t="s">
        <v>250</v>
      </c>
      <c r="G279" s="29" t="s">
        <v>277</v>
      </c>
      <c r="H279" s="32">
        <v>20</v>
      </c>
      <c r="I279" s="32">
        <v>4970.33</v>
      </c>
      <c r="J279" s="32">
        <v>99406.6</v>
      </c>
      <c r="K279" s="29"/>
      <c r="M279" s="29"/>
      <c r="N279" s="29"/>
      <c r="P279" s="29"/>
      <c r="Q279" s="29"/>
      <c r="S279" s="29"/>
      <c r="T279" s="29"/>
      <c r="V279" s="29"/>
      <c r="X279" s="29"/>
      <c r="Y279" s="29"/>
      <c r="Z279" s="29"/>
    </row>
    <row r="280" spans="1:26" ht="15" thickBot="1">
      <c r="A280" s="49">
        <v>45272</v>
      </c>
      <c r="B280" s="29" t="s">
        <v>257</v>
      </c>
      <c r="C280" s="29" t="s">
        <v>316</v>
      </c>
      <c r="D280" s="29" t="s">
        <v>247</v>
      </c>
      <c r="E280" s="29" t="s">
        <v>6</v>
      </c>
      <c r="F280" s="29" t="s">
        <v>233</v>
      </c>
      <c r="G280" s="29" t="s">
        <v>287</v>
      </c>
      <c r="H280" s="32">
        <v>12</v>
      </c>
      <c r="I280" s="32">
        <v>3939.5</v>
      </c>
      <c r="J280" s="32">
        <v>47274</v>
      </c>
      <c r="K280" s="29"/>
      <c r="M280" s="29"/>
      <c r="N280" s="29"/>
      <c r="P280" s="29"/>
      <c r="Q280" s="29"/>
      <c r="S280" s="29"/>
      <c r="T280" s="29"/>
      <c r="V280" s="29"/>
      <c r="X280" s="29"/>
      <c r="Y280" s="29"/>
      <c r="Z280" s="29"/>
    </row>
    <row r="281" spans="1:26" ht="15" thickBot="1">
      <c r="A281" s="32" t="s">
        <v>365</v>
      </c>
      <c r="B281" s="29" t="s">
        <v>260</v>
      </c>
      <c r="C281" s="29" t="s">
        <v>258</v>
      </c>
      <c r="D281" s="29" t="s">
        <v>242</v>
      </c>
      <c r="E281" s="29" t="s">
        <v>8</v>
      </c>
      <c r="F281" s="29" t="s">
        <v>259</v>
      </c>
      <c r="G281" s="29" t="s">
        <v>298</v>
      </c>
      <c r="H281" s="32">
        <v>15</v>
      </c>
      <c r="I281" s="32">
        <v>1450.75</v>
      </c>
      <c r="J281" s="32">
        <v>21761.25</v>
      </c>
      <c r="K281" s="29"/>
      <c r="M281" s="29"/>
      <c r="N281" s="29"/>
      <c r="P281" s="29"/>
      <c r="Q281" s="29"/>
      <c r="S281" s="29"/>
      <c r="T281" s="29"/>
      <c r="V281" s="29"/>
      <c r="X281" s="29"/>
      <c r="Y281" s="29"/>
      <c r="Z281" s="29"/>
    </row>
    <row r="282" spans="1:26" ht="15" thickBot="1">
      <c r="A282" s="49">
        <v>45057</v>
      </c>
      <c r="B282" s="29" t="s">
        <v>260</v>
      </c>
      <c r="C282" s="29" t="s">
        <v>244</v>
      </c>
      <c r="D282" s="29" t="s">
        <v>237</v>
      </c>
      <c r="E282" s="29" t="s">
        <v>8</v>
      </c>
      <c r="F282" s="29" t="s">
        <v>233</v>
      </c>
      <c r="G282" s="29" t="s">
        <v>234</v>
      </c>
      <c r="H282" s="32">
        <v>8</v>
      </c>
      <c r="I282" s="32">
        <v>3279.33</v>
      </c>
      <c r="J282" s="32">
        <v>26234.639999999999</v>
      </c>
      <c r="K282" s="29"/>
      <c r="M282" s="29"/>
      <c r="N282" s="29"/>
      <c r="P282" s="29"/>
      <c r="Q282" s="29"/>
      <c r="S282" s="29"/>
      <c r="T282" s="29"/>
      <c r="V282" s="29"/>
      <c r="X282" s="29"/>
      <c r="Y282" s="29"/>
      <c r="Z282" s="29"/>
    </row>
    <row r="283" spans="1:26" ht="15" thickBot="1">
      <c r="A283" s="32" t="s">
        <v>405</v>
      </c>
      <c r="B283" s="29" t="s">
        <v>271</v>
      </c>
      <c r="C283" s="29" t="s">
        <v>274</v>
      </c>
      <c r="D283" s="29" t="s">
        <v>232</v>
      </c>
      <c r="E283" s="29" t="s">
        <v>6</v>
      </c>
      <c r="F283" s="29" t="s">
        <v>245</v>
      </c>
      <c r="G283" s="29" t="s">
        <v>269</v>
      </c>
      <c r="H283" s="32">
        <v>7</v>
      </c>
      <c r="I283" s="32">
        <v>579.91999999999996</v>
      </c>
      <c r="J283" s="32">
        <v>4059.44</v>
      </c>
      <c r="K283" s="29"/>
      <c r="M283" s="29"/>
      <c r="N283" s="29"/>
      <c r="P283" s="29"/>
      <c r="Q283" s="29"/>
      <c r="S283" s="29"/>
      <c r="T283" s="29"/>
      <c r="V283" s="29"/>
      <c r="X283" s="29"/>
      <c r="Y283" s="29"/>
      <c r="Z283" s="29"/>
    </row>
    <row r="284" spans="1:26" ht="15" thickBot="1">
      <c r="A284" s="49">
        <v>45048</v>
      </c>
      <c r="B284" s="29" t="s">
        <v>260</v>
      </c>
      <c r="C284" s="29" t="s">
        <v>244</v>
      </c>
      <c r="D284" s="29" t="s">
        <v>237</v>
      </c>
      <c r="E284" s="29" t="s">
        <v>8</v>
      </c>
      <c r="F284" s="29" t="s">
        <v>259</v>
      </c>
      <c r="G284" s="29" t="s">
        <v>179</v>
      </c>
      <c r="H284" s="32">
        <v>10</v>
      </c>
      <c r="I284" s="32">
        <v>2515.54</v>
      </c>
      <c r="J284" s="32">
        <v>25155.4</v>
      </c>
      <c r="K284" s="29"/>
      <c r="M284" s="29"/>
      <c r="N284" s="29"/>
      <c r="P284" s="29"/>
      <c r="Q284" s="29"/>
      <c r="S284" s="29"/>
      <c r="T284" s="29"/>
      <c r="V284" s="29"/>
      <c r="X284" s="29"/>
      <c r="Y284" s="29"/>
      <c r="Z284" s="29"/>
    </row>
    <row r="285" spans="1:26" ht="15" thickBot="1">
      <c r="A285" s="32" t="s">
        <v>357</v>
      </c>
      <c r="B285" s="29" t="s">
        <v>248</v>
      </c>
      <c r="C285" s="29" t="s">
        <v>274</v>
      </c>
      <c r="D285" s="29" t="s">
        <v>232</v>
      </c>
      <c r="E285" s="29" t="s">
        <v>6</v>
      </c>
      <c r="F285" s="29" t="s">
        <v>250</v>
      </c>
      <c r="G285" s="29" t="s">
        <v>277</v>
      </c>
      <c r="H285" s="32">
        <v>10</v>
      </c>
      <c r="I285" s="32">
        <v>2976.69</v>
      </c>
      <c r="J285" s="32">
        <v>29766.9</v>
      </c>
      <c r="K285" s="29"/>
      <c r="M285" s="29"/>
      <c r="N285" s="29"/>
      <c r="P285" s="29"/>
      <c r="Q285" s="29"/>
      <c r="S285" s="29"/>
      <c r="T285" s="29"/>
      <c r="V285" s="29"/>
      <c r="X285" s="29"/>
      <c r="Y285" s="29"/>
      <c r="Z285" s="29"/>
    </row>
    <row r="286" spans="1:26" ht="15" thickBot="1">
      <c r="A286" s="32" t="s">
        <v>282</v>
      </c>
      <c r="B286" s="29" t="s">
        <v>248</v>
      </c>
      <c r="C286" s="29" t="s">
        <v>236</v>
      </c>
      <c r="D286" s="29" t="s">
        <v>237</v>
      </c>
      <c r="E286" s="29" t="s">
        <v>8</v>
      </c>
      <c r="F286" s="29" t="s">
        <v>250</v>
      </c>
      <c r="G286" s="29" t="s">
        <v>293</v>
      </c>
      <c r="H286" s="32">
        <v>16</v>
      </c>
      <c r="I286" s="32">
        <v>4047.21</v>
      </c>
      <c r="J286" s="32">
        <v>64755.360000000001</v>
      </c>
      <c r="K286" s="29"/>
      <c r="M286" s="29"/>
      <c r="N286" s="29"/>
      <c r="P286" s="29"/>
      <c r="Q286" s="29"/>
      <c r="S286" s="29"/>
      <c r="T286" s="29"/>
      <c r="V286" s="29"/>
      <c r="X286" s="29"/>
      <c r="Y286" s="29"/>
      <c r="Z286" s="29"/>
    </row>
    <row r="287" spans="1:26" ht="15" thickBot="1">
      <c r="A287" s="49">
        <v>45203</v>
      </c>
      <c r="B287" s="29" t="s">
        <v>254</v>
      </c>
      <c r="C287" s="29" t="s">
        <v>276</v>
      </c>
      <c r="D287" s="29" t="s">
        <v>247</v>
      </c>
      <c r="E287" s="29" t="s">
        <v>6</v>
      </c>
      <c r="F287" s="29" t="s">
        <v>250</v>
      </c>
      <c r="G287" s="29" t="s">
        <v>284</v>
      </c>
      <c r="H287" s="32">
        <v>18</v>
      </c>
      <c r="I287" s="32">
        <v>2825.07</v>
      </c>
      <c r="J287" s="32">
        <v>50851.26</v>
      </c>
      <c r="K287" s="29"/>
      <c r="M287" s="29"/>
      <c r="N287" s="29"/>
      <c r="P287" s="29"/>
      <c r="Q287" s="29"/>
      <c r="S287" s="29"/>
      <c r="T287" s="29"/>
      <c r="V287" s="29"/>
      <c r="X287" s="29"/>
      <c r="Y287" s="29"/>
      <c r="Z287" s="29"/>
    </row>
    <row r="288" spans="1:26" ht="15" thickBot="1">
      <c r="A288" s="32" t="s">
        <v>399</v>
      </c>
      <c r="B288" s="29" t="s">
        <v>257</v>
      </c>
      <c r="C288" s="29" t="s">
        <v>255</v>
      </c>
      <c r="D288" s="29" t="s">
        <v>237</v>
      </c>
      <c r="E288" s="29" t="s">
        <v>8</v>
      </c>
      <c r="F288" s="29" t="s">
        <v>245</v>
      </c>
      <c r="G288" s="29" t="s">
        <v>295</v>
      </c>
      <c r="H288" s="32">
        <v>13</v>
      </c>
      <c r="I288" s="32">
        <v>1406.82</v>
      </c>
      <c r="J288" s="32">
        <v>18288.66</v>
      </c>
      <c r="K288" s="29"/>
      <c r="M288" s="29"/>
      <c r="N288" s="29"/>
      <c r="P288" s="29"/>
      <c r="Q288" s="29"/>
      <c r="S288" s="29"/>
      <c r="T288" s="29"/>
      <c r="V288" s="29"/>
      <c r="X288" s="29"/>
      <c r="Y288" s="29"/>
      <c r="Z288" s="29"/>
    </row>
    <row r="289" spans="1:26" ht="15" thickBot="1">
      <c r="A289" s="32" t="s">
        <v>406</v>
      </c>
      <c r="B289" s="29" t="s">
        <v>280</v>
      </c>
      <c r="C289" s="29" t="s">
        <v>231</v>
      </c>
      <c r="D289" s="29" t="s">
        <v>232</v>
      </c>
      <c r="E289" s="29" t="s">
        <v>6</v>
      </c>
      <c r="F289" s="29" t="s">
        <v>238</v>
      </c>
      <c r="G289" s="29" t="s">
        <v>303</v>
      </c>
      <c r="H289" s="32">
        <v>16</v>
      </c>
      <c r="I289" s="32">
        <v>1090.18</v>
      </c>
      <c r="J289" s="32">
        <v>17442.88</v>
      </c>
      <c r="K289" s="29"/>
      <c r="M289" s="29"/>
      <c r="N289" s="29"/>
      <c r="P289" s="29"/>
      <c r="Q289" s="29"/>
      <c r="S289" s="29"/>
      <c r="T289" s="29"/>
      <c r="V289" s="29"/>
      <c r="X289" s="29"/>
      <c r="Y289" s="29"/>
      <c r="Z289" s="29"/>
    </row>
    <row r="290" spans="1:26" ht="15" thickBot="1">
      <c r="A290" s="49">
        <v>44987</v>
      </c>
      <c r="B290" s="29" t="s">
        <v>268</v>
      </c>
      <c r="C290" s="29" t="s">
        <v>313</v>
      </c>
      <c r="D290" s="29" t="s">
        <v>252</v>
      </c>
      <c r="E290" s="29" t="s">
        <v>5</v>
      </c>
      <c r="F290" s="29" t="s">
        <v>259</v>
      </c>
      <c r="G290" s="29" t="s">
        <v>298</v>
      </c>
      <c r="H290" s="32">
        <v>12</v>
      </c>
      <c r="I290" s="32">
        <v>3696.43</v>
      </c>
      <c r="J290" s="32">
        <v>44357.16</v>
      </c>
      <c r="K290" s="29"/>
      <c r="M290" s="29"/>
      <c r="N290" s="29"/>
      <c r="P290" s="29"/>
      <c r="Q290" s="29"/>
      <c r="S290" s="29"/>
      <c r="T290" s="29"/>
      <c r="V290" s="29"/>
      <c r="X290" s="29"/>
      <c r="Y290" s="29"/>
      <c r="Z290" s="29"/>
    </row>
    <row r="291" spans="1:26" ht="15" thickBot="1">
      <c r="A291" s="49">
        <v>45180</v>
      </c>
      <c r="B291" s="29" t="s">
        <v>248</v>
      </c>
      <c r="C291" s="29" t="s">
        <v>283</v>
      </c>
      <c r="D291" s="29" t="s">
        <v>242</v>
      </c>
      <c r="E291" s="29" t="s">
        <v>8</v>
      </c>
      <c r="F291" s="29" t="s">
        <v>259</v>
      </c>
      <c r="G291" s="29" t="s">
        <v>298</v>
      </c>
      <c r="H291" s="32">
        <v>7</v>
      </c>
      <c r="I291" s="32">
        <v>4535.1400000000003</v>
      </c>
      <c r="J291" s="32">
        <v>31745.98</v>
      </c>
      <c r="K291" s="29"/>
      <c r="M291" s="29"/>
      <c r="N291" s="29"/>
      <c r="P291" s="29"/>
      <c r="Q291" s="29"/>
      <c r="S291" s="29"/>
      <c r="T291" s="29"/>
      <c r="V291" s="29"/>
      <c r="X291" s="29"/>
      <c r="Y291" s="29"/>
      <c r="Z291" s="29"/>
    </row>
    <row r="292" spans="1:26" ht="15" thickBot="1">
      <c r="A292" s="49">
        <v>44968</v>
      </c>
      <c r="B292" s="29" t="s">
        <v>254</v>
      </c>
      <c r="C292" s="29" t="s">
        <v>236</v>
      </c>
      <c r="D292" s="29" t="s">
        <v>237</v>
      </c>
      <c r="E292" s="29" t="s">
        <v>8</v>
      </c>
      <c r="F292" s="29" t="s">
        <v>250</v>
      </c>
      <c r="G292" s="29" t="s">
        <v>293</v>
      </c>
      <c r="H292" s="32">
        <v>3</v>
      </c>
      <c r="I292" s="32">
        <v>4931.6899999999996</v>
      </c>
      <c r="J292" s="32">
        <v>14795.07</v>
      </c>
      <c r="K292" s="29"/>
      <c r="M292" s="29"/>
      <c r="N292" s="29"/>
      <c r="P292" s="29"/>
      <c r="Q292" s="29"/>
      <c r="S292" s="29"/>
      <c r="T292" s="29"/>
      <c r="V292" s="29"/>
      <c r="X292" s="29"/>
      <c r="Y292" s="29"/>
      <c r="Z292" s="29"/>
    </row>
    <row r="293" spans="1:26" ht="15" thickBot="1">
      <c r="A293" s="32" t="s">
        <v>265</v>
      </c>
      <c r="B293" s="29" t="s">
        <v>280</v>
      </c>
      <c r="C293" s="29" t="s">
        <v>281</v>
      </c>
      <c r="D293" s="29" t="s">
        <v>252</v>
      </c>
      <c r="E293" s="29" t="s">
        <v>5</v>
      </c>
      <c r="F293" s="29" t="s">
        <v>250</v>
      </c>
      <c r="G293" s="29" t="s">
        <v>251</v>
      </c>
      <c r="H293" s="32">
        <v>16</v>
      </c>
      <c r="I293" s="32">
        <v>3263.65</v>
      </c>
      <c r="J293" s="32">
        <v>52218.400000000001</v>
      </c>
      <c r="K293" s="29"/>
      <c r="M293" s="29"/>
      <c r="N293" s="29"/>
      <c r="P293" s="29"/>
      <c r="Q293" s="29"/>
      <c r="S293" s="29"/>
      <c r="T293" s="29"/>
      <c r="V293" s="29"/>
      <c r="X293" s="29"/>
      <c r="Y293" s="29"/>
      <c r="Z293" s="29"/>
    </row>
    <row r="294" spans="1:26" ht="15" thickBot="1">
      <c r="A294" s="32" t="s">
        <v>407</v>
      </c>
      <c r="B294" s="29" t="s">
        <v>240</v>
      </c>
      <c r="C294" s="29" t="s">
        <v>249</v>
      </c>
      <c r="D294" s="29" t="s">
        <v>232</v>
      </c>
      <c r="E294" s="29" t="s">
        <v>6</v>
      </c>
      <c r="F294" s="29" t="s">
        <v>238</v>
      </c>
      <c r="G294" s="29" t="s">
        <v>296</v>
      </c>
      <c r="H294" s="32">
        <v>17</v>
      </c>
      <c r="I294" s="32">
        <v>4083.07</v>
      </c>
      <c r="J294" s="32">
        <v>69412.19</v>
      </c>
      <c r="K294" s="29"/>
      <c r="M294" s="29"/>
      <c r="N294" s="29"/>
      <c r="P294" s="29"/>
      <c r="Q294" s="29"/>
      <c r="S294" s="29"/>
      <c r="T294" s="29"/>
      <c r="V294" s="29"/>
      <c r="X294" s="29"/>
      <c r="Y294" s="29"/>
      <c r="Z294" s="29"/>
    </row>
    <row r="295" spans="1:26" ht="15" thickBot="1">
      <c r="A295" s="32" t="s">
        <v>302</v>
      </c>
      <c r="B295" s="29" t="s">
        <v>260</v>
      </c>
      <c r="C295" s="29" t="s">
        <v>274</v>
      </c>
      <c r="D295" s="29" t="s">
        <v>232</v>
      </c>
      <c r="E295" s="29" t="s">
        <v>6</v>
      </c>
      <c r="F295" s="29" t="s">
        <v>238</v>
      </c>
      <c r="G295" s="29" t="s">
        <v>239</v>
      </c>
      <c r="H295" s="32">
        <v>12</v>
      </c>
      <c r="I295" s="32">
        <v>528.69000000000005</v>
      </c>
      <c r="J295" s="32">
        <v>6344.28</v>
      </c>
      <c r="K295" s="29"/>
      <c r="M295" s="29"/>
      <c r="N295" s="29"/>
      <c r="P295" s="29"/>
      <c r="Q295" s="29"/>
      <c r="S295" s="29"/>
      <c r="T295" s="29"/>
      <c r="V295" s="29"/>
      <c r="X295" s="29"/>
      <c r="Y295" s="29"/>
      <c r="Z295" s="29"/>
    </row>
    <row r="296" spans="1:26" ht="15" thickBot="1">
      <c r="A296" s="49">
        <v>45024</v>
      </c>
      <c r="B296" s="29" t="s">
        <v>271</v>
      </c>
      <c r="C296" s="29" t="s">
        <v>244</v>
      </c>
      <c r="D296" s="29" t="s">
        <v>237</v>
      </c>
      <c r="E296" s="29" t="s">
        <v>8</v>
      </c>
      <c r="F296" s="29" t="s">
        <v>259</v>
      </c>
      <c r="G296" s="29" t="s">
        <v>299</v>
      </c>
      <c r="H296" s="32">
        <v>8</v>
      </c>
      <c r="I296" s="32">
        <v>528.92999999999995</v>
      </c>
      <c r="J296" s="32">
        <v>4231.4399999999996</v>
      </c>
      <c r="K296" s="29"/>
      <c r="M296" s="29"/>
      <c r="N296" s="29"/>
      <c r="P296" s="29"/>
      <c r="Q296" s="29"/>
      <c r="S296" s="29"/>
      <c r="T296" s="29"/>
      <c r="V296" s="29"/>
      <c r="X296" s="29"/>
      <c r="Y296" s="29"/>
      <c r="Z296" s="29"/>
    </row>
    <row r="297" spans="1:26" ht="15" thickBot="1">
      <c r="A297" s="49">
        <v>45268</v>
      </c>
      <c r="B297" s="29" t="s">
        <v>230</v>
      </c>
      <c r="C297" s="29" t="s">
        <v>249</v>
      </c>
      <c r="D297" s="29" t="s">
        <v>232</v>
      </c>
      <c r="E297" s="29" t="s">
        <v>6</v>
      </c>
      <c r="F297" s="29" t="s">
        <v>250</v>
      </c>
      <c r="G297" s="29" t="s">
        <v>251</v>
      </c>
      <c r="H297" s="32">
        <v>11</v>
      </c>
      <c r="I297" s="32">
        <v>1749.31</v>
      </c>
      <c r="J297" s="32">
        <v>19242.41</v>
      </c>
      <c r="K297" s="29"/>
      <c r="M297" s="29"/>
      <c r="N297" s="29"/>
      <c r="P297" s="29"/>
      <c r="Q297" s="29"/>
      <c r="S297" s="29"/>
      <c r="T297" s="29"/>
      <c r="V297" s="29"/>
      <c r="X297" s="29"/>
      <c r="Y297" s="29"/>
      <c r="Z297" s="29"/>
    </row>
    <row r="298" spans="1:26" ht="15" thickBot="1">
      <c r="A298" s="49">
        <v>44969</v>
      </c>
      <c r="B298" s="29" t="s">
        <v>230</v>
      </c>
      <c r="C298" s="29" t="s">
        <v>231</v>
      </c>
      <c r="D298" s="29" t="s">
        <v>232</v>
      </c>
      <c r="E298" s="29" t="s">
        <v>6</v>
      </c>
      <c r="F298" s="29" t="s">
        <v>238</v>
      </c>
      <c r="G298" s="29" t="s">
        <v>239</v>
      </c>
      <c r="H298" s="32">
        <v>11</v>
      </c>
      <c r="I298" s="32">
        <v>2635.95</v>
      </c>
      <c r="J298" s="32">
        <v>28995.45</v>
      </c>
      <c r="K298" s="29"/>
      <c r="M298" s="29"/>
      <c r="N298" s="29"/>
      <c r="P298" s="29"/>
      <c r="Q298" s="29"/>
      <c r="S298" s="29"/>
      <c r="T298" s="29"/>
      <c r="V298" s="29"/>
      <c r="X298" s="29"/>
      <c r="Y298" s="29"/>
      <c r="Z298" s="29"/>
    </row>
    <row r="299" spans="1:26" ht="15" thickBot="1">
      <c r="A299" s="32" t="s">
        <v>347</v>
      </c>
      <c r="B299" s="29" t="s">
        <v>257</v>
      </c>
      <c r="C299" s="29" t="s">
        <v>231</v>
      </c>
      <c r="D299" s="29" t="s">
        <v>232</v>
      </c>
      <c r="E299" s="29" t="s">
        <v>6</v>
      </c>
      <c r="F299" s="29" t="s">
        <v>250</v>
      </c>
      <c r="G299" s="29" t="s">
        <v>251</v>
      </c>
      <c r="H299" s="32">
        <v>6</v>
      </c>
      <c r="I299" s="32">
        <v>2850.31</v>
      </c>
      <c r="J299" s="32">
        <v>17101.86</v>
      </c>
      <c r="K299" s="29"/>
      <c r="M299" s="29"/>
      <c r="N299" s="29"/>
      <c r="P299" s="29"/>
      <c r="Q299" s="29"/>
      <c r="S299" s="29"/>
      <c r="T299" s="29"/>
      <c r="V299" s="29"/>
      <c r="X299" s="29"/>
      <c r="Y299" s="29"/>
      <c r="Z299" s="29"/>
    </row>
    <row r="300" spans="1:26" ht="15" thickBot="1">
      <c r="A300" s="32" t="s">
        <v>354</v>
      </c>
      <c r="B300" s="29" t="s">
        <v>280</v>
      </c>
      <c r="C300" s="29" t="s">
        <v>241</v>
      </c>
      <c r="D300" s="29" t="s">
        <v>242</v>
      </c>
      <c r="E300" s="29" t="s">
        <v>8</v>
      </c>
      <c r="F300" s="29" t="s">
        <v>259</v>
      </c>
      <c r="G300" s="29" t="s">
        <v>182</v>
      </c>
      <c r="H300" s="32">
        <v>5</v>
      </c>
      <c r="I300" s="32">
        <v>1413.03</v>
      </c>
      <c r="J300" s="32">
        <v>7065.15</v>
      </c>
      <c r="K300" s="29"/>
      <c r="M300" s="29"/>
      <c r="N300" s="29"/>
      <c r="P300" s="29"/>
      <c r="Q300" s="29"/>
      <c r="S300" s="29"/>
      <c r="T300" s="29"/>
      <c r="V300" s="29"/>
      <c r="X300" s="29"/>
      <c r="Y300" s="29"/>
      <c r="Z300" s="29"/>
    </row>
    <row r="301" spans="1:26" ht="15" thickBot="1">
      <c r="A301" s="32" t="s">
        <v>408</v>
      </c>
      <c r="B301" s="29" t="s">
        <v>254</v>
      </c>
      <c r="C301" s="29" t="s">
        <v>274</v>
      </c>
      <c r="D301" s="29" t="s">
        <v>232</v>
      </c>
      <c r="E301" s="29" t="s">
        <v>6</v>
      </c>
      <c r="F301" s="29" t="s">
        <v>259</v>
      </c>
      <c r="G301" s="29" t="s">
        <v>298</v>
      </c>
      <c r="H301" s="32">
        <v>14</v>
      </c>
      <c r="I301" s="32">
        <v>4541.87</v>
      </c>
      <c r="J301" s="32">
        <v>63586.18</v>
      </c>
      <c r="K301" s="29"/>
      <c r="M301" s="29"/>
      <c r="N301" s="29"/>
      <c r="P301" s="29"/>
      <c r="Q301" s="29"/>
      <c r="S301" s="29"/>
      <c r="T301" s="29"/>
      <c r="V301" s="29"/>
      <c r="X301" s="29"/>
      <c r="Y301" s="29"/>
      <c r="Z301" s="29"/>
    </row>
    <row r="302" spans="1:26" ht="15" thickBot="1">
      <c r="A302" s="32" t="s">
        <v>361</v>
      </c>
      <c r="B302" s="29" t="s">
        <v>254</v>
      </c>
      <c r="C302" s="29" t="s">
        <v>273</v>
      </c>
      <c r="D302" s="29" t="s">
        <v>252</v>
      </c>
      <c r="E302" s="29" t="s">
        <v>5</v>
      </c>
      <c r="F302" s="29" t="s">
        <v>245</v>
      </c>
      <c r="G302" s="29" t="s">
        <v>269</v>
      </c>
      <c r="H302" s="32">
        <v>5</v>
      </c>
      <c r="I302" s="32">
        <v>3395.71</v>
      </c>
      <c r="J302" s="32">
        <v>16978.55</v>
      </c>
      <c r="K302" s="29"/>
      <c r="M302" s="29"/>
      <c r="N302" s="29"/>
      <c r="P302" s="29"/>
      <c r="Q302" s="29"/>
      <c r="S302" s="29"/>
      <c r="T302" s="29"/>
      <c r="V302" s="29"/>
      <c r="X302" s="29"/>
      <c r="Y302" s="29"/>
      <c r="Z302" s="29"/>
    </row>
    <row r="303" spans="1:26" ht="15" thickBot="1">
      <c r="A303" s="49">
        <v>45118</v>
      </c>
      <c r="B303" s="29" t="s">
        <v>248</v>
      </c>
      <c r="C303" s="29" t="s">
        <v>261</v>
      </c>
      <c r="D303" s="29" t="s">
        <v>247</v>
      </c>
      <c r="E303" s="29" t="s">
        <v>6</v>
      </c>
      <c r="F303" s="29" t="s">
        <v>238</v>
      </c>
      <c r="G303" s="29" t="s">
        <v>296</v>
      </c>
      <c r="H303" s="32">
        <v>2</v>
      </c>
      <c r="I303" s="32">
        <v>4050.46</v>
      </c>
      <c r="J303" s="32">
        <v>8100.92</v>
      </c>
      <c r="K303" s="29"/>
      <c r="M303" s="29"/>
      <c r="N303" s="29"/>
      <c r="P303" s="29"/>
      <c r="Q303" s="29"/>
      <c r="S303" s="29"/>
      <c r="T303" s="29"/>
      <c r="V303" s="29"/>
      <c r="X303" s="29"/>
      <c r="Y303" s="29"/>
      <c r="Z303" s="29"/>
    </row>
    <row r="304" spans="1:26" ht="15" thickBot="1">
      <c r="A304" s="49">
        <v>44993</v>
      </c>
      <c r="B304" s="29" t="s">
        <v>268</v>
      </c>
      <c r="C304" s="29" t="s">
        <v>316</v>
      </c>
      <c r="D304" s="29" t="s">
        <v>247</v>
      </c>
      <c r="E304" s="29" t="s">
        <v>6</v>
      </c>
      <c r="F304" s="29" t="s">
        <v>245</v>
      </c>
      <c r="G304" s="29" t="s">
        <v>246</v>
      </c>
      <c r="H304" s="32">
        <v>6</v>
      </c>
      <c r="I304" s="32">
        <v>3617.81</v>
      </c>
      <c r="J304" s="32">
        <v>21706.86</v>
      </c>
      <c r="K304" s="29"/>
      <c r="M304" s="29"/>
      <c r="N304" s="29"/>
      <c r="P304" s="29"/>
      <c r="Q304" s="29"/>
      <c r="S304" s="29"/>
      <c r="T304" s="29"/>
      <c r="V304" s="29"/>
      <c r="X304" s="29"/>
      <c r="Y304" s="29"/>
      <c r="Z304" s="29"/>
    </row>
    <row r="305" spans="1:26" ht="15" thickBot="1">
      <c r="A305" s="32" t="s">
        <v>409</v>
      </c>
      <c r="B305" s="29" t="s">
        <v>248</v>
      </c>
      <c r="C305" s="29" t="s">
        <v>236</v>
      </c>
      <c r="D305" s="29" t="s">
        <v>237</v>
      </c>
      <c r="E305" s="29" t="s">
        <v>8</v>
      </c>
      <c r="F305" s="29" t="s">
        <v>250</v>
      </c>
      <c r="G305" s="29" t="s">
        <v>277</v>
      </c>
      <c r="H305" s="32">
        <v>11</v>
      </c>
      <c r="I305" s="32">
        <v>1527.71</v>
      </c>
      <c r="J305" s="32">
        <v>16804.810000000001</v>
      </c>
      <c r="K305" s="29"/>
      <c r="M305" s="29"/>
      <c r="N305" s="29"/>
      <c r="P305" s="29"/>
      <c r="Q305" s="29"/>
      <c r="S305" s="29"/>
      <c r="T305" s="29"/>
      <c r="V305" s="29"/>
      <c r="X305" s="29"/>
      <c r="Y305" s="29"/>
      <c r="Z305" s="29"/>
    </row>
    <row r="306" spans="1:26" ht="15" thickBot="1">
      <c r="A306" s="49">
        <v>45079</v>
      </c>
      <c r="B306" s="29" t="s">
        <v>268</v>
      </c>
      <c r="C306" s="29" t="s">
        <v>313</v>
      </c>
      <c r="D306" s="29" t="s">
        <v>252</v>
      </c>
      <c r="E306" s="29" t="s">
        <v>5</v>
      </c>
      <c r="F306" s="29" t="s">
        <v>259</v>
      </c>
      <c r="G306" s="29" t="s">
        <v>299</v>
      </c>
      <c r="H306" s="32">
        <v>7</v>
      </c>
      <c r="I306" s="32">
        <v>1420.32</v>
      </c>
      <c r="J306" s="32">
        <v>9942.24</v>
      </c>
      <c r="K306" s="29"/>
      <c r="M306" s="29"/>
      <c r="N306" s="29"/>
      <c r="P306" s="29"/>
      <c r="Q306" s="29"/>
      <c r="S306" s="29"/>
      <c r="T306" s="29"/>
      <c r="V306" s="29"/>
      <c r="X306" s="29"/>
      <c r="Y306" s="29"/>
      <c r="Z306" s="29"/>
    </row>
    <row r="307" spans="1:26" ht="15" thickBot="1">
      <c r="A307" s="32" t="s">
        <v>267</v>
      </c>
      <c r="B307" s="29" t="s">
        <v>254</v>
      </c>
      <c r="C307" s="29" t="s">
        <v>244</v>
      </c>
      <c r="D307" s="29" t="s">
        <v>237</v>
      </c>
      <c r="E307" s="29" t="s">
        <v>8</v>
      </c>
      <c r="F307" s="29" t="s">
        <v>259</v>
      </c>
      <c r="G307" s="29" t="s">
        <v>179</v>
      </c>
      <c r="H307" s="32">
        <v>17</v>
      </c>
      <c r="I307" s="32">
        <v>1336.86</v>
      </c>
      <c r="J307" s="32">
        <v>22726.62</v>
      </c>
      <c r="K307" s="29"/>
      <c r="M307" s="29"/>
      <c r="N307" s="29"/>
      <c r="P307" s="29"/>
      <c r="Q307" s="29"/>
      <c r="S307" s="29"/>
      <c r="T307" s="29"/>
      <c r="V307" s="29"/>
      <c r="X307" s="29"/>
      <c r="Y307" s="29"/>
      <c r="Z307" s="29"/>
    </row>
    <row r="308" spans="1:26" ht="15" thickBot="1">
      <c r="A308" s="49">
        <v>45200</v>
      </c>
      <c r="B308" s="29" t="s">
        <v>230</v>
      </c>
      <c r="C308" s="29" t="s">
        <v>316</v>
      </c>
      <c r="D308" s="29" t="s">
        <v>247</v>
      </c>
      <c r="E308" s="29" t="s">
        <v>6</v>
      </c>
      <c r="F308" s="29" t="s">
        <v>245</v>
      </c>
      <c r="G308" s="29" t="s">
        <v>246</v>
      </c>
      <c r="H308" s="32">
        <v>15</v>
      </c>
      <c r="I308" s="32">
        <v>359.4</v>
      </c>
      <c r="J308" s="32">
        <v>5391</v>
      </c>
      <c r="K308" s="29"/>
      <c r="M308" s="29"/>
      <c r="N308" s="29"/>
      <c r="P308" s="29"/>
      <c r="Q308" s="29"/>
      <c r="S308" s="29"/>
      <c r="T308" s="29"/>
      <c r="V308" s="29"/>
      <c r="X308" s="29"/>
      <c r="Y308" s="29"/>
      <c r="Z308" s="29"/>
    </row>
    <row r="309" spans="1:26" ht="15" thickBot="1">
      <c r="A309" s="32" t="s">
        <v>348</v>
      </c>
      <c r="B309" s="29" t="s">
        <v>271</v>
      </c>
      <c r="C309" s="29" t="s">
        <v>313</v>
      </c>
      <c r="D309" s="29" t="s">
        <v>252</v>
      </c>
      <c r="E309" s="29" t="s">
        <v>5</v>
      </c>
      <c r="F309" s="29" t="s">
        <v>233</v>
      </c>
      <c r="G309" s="29" t="s">
        <v>304</v>
      </c>
      <c r="H309" s="32">
        <v>6</v>
      </c>
      <c r="I309" s="32">
        <v>4109.0200000000004</v>
      </c>
      <c r="J309" s="32">
        <v>24654.12</v>
      </c>
      <c r="K309" s="29"/>
      <c r="M309" s="29"/>
      <c r="N309" s="29"/>
      <c r="P309" s="29"/>
      <c r="Q309" s="29"/>
      <c r="S309" s="29"/>
      <c r="T309" s="29"/>
      <c r="V309" s="29"/>
      <c r="X309" s="29"/>
      <c r="Y309" s="29"/>
      <c r="Z309" s="29"/>
    </row>
    <row r="310" spans="1:26" ht="15" thickBot="1">
      <c r="A310" s="49">
        <v>45140</v>
      </c>
      <c r="B310" s="29" t="s">
        <v>240</v>
      </c>
      <c r="C310" s="29" t="s">
        <v>241</v>
      </c>
      <c r="D310" s="29" t="s">
        <v>242</v>
      </c>
      <c r="E310" s="29" t="s">
        <v>8</v>
      </c>
      <c r="F310" s="29" t="s">
        <v>233</v>
      </c>
      <c r="G310" s="29" t="s">
        <v>234</v>
      </c>
      <c r="H310" s="32">
        <v>12</v>
      </c>
      <c r="I310" s="32">
        <v>3700.23</v>
      </c>
      <c r="J310" s="32">
        <v>44402.76</v>
      </c>
      <c r="K310" s="29"/>
      <c r="M310" s="29"/>
      <c r="N310" s="29"/>
      <c r="P310" s="29"/>
      <c r="Q310" s="29"/>
      <c r="S310" s="29"/>
      <c r="T310" s="29"/>
      <c r="V310" s="29"/>
      <c r="X310" s="29"/>
      <c r="Y310" s="29"/>
      <c r="Z310" s="29"/>
    </row>
    <row r="311" spans="1:26" ht="15" thickBot="1">
      <c r="A311" s="32" t="s">
        <v>386</v>
      </c>
      <c r="B311" s="29" t="s">
        <v>248</v>
      </c>
      <c r="C311" s="29" t="s">
        <v>244</v>
      </c>
      <c r="D311" s="29" t="s">
        <v>237</v>
      </c>
      <c r="E311" s="29" t="s">
        <v>8</v>
      </c>
      <c r="F311" s="29" t="s">
        <v>233</v>
      </c>
      <c r="G311" s="29" t="s">
        <v>304</v>
      </c>
      <c r="H311" s="32">
        <v>5</v>
      </c>
      <c r="I311" s="32">
        <v>221.41</v>
      </c>
      <c r="J311" s="32">
        <v>1107.05</v>
      </c>
      <c r="K311" s="29"/>
      <c r="M311" s="29"/>
      <c r="N311" s="29"/>
      <c r="P311" s="29"/>
      <c r="Q311" s="29"/>
      <c r="S311" s="29"/>
      <c r="T311" s="29"/>
      <c r="V311" s="29"/>
      <c r="X311" s="29"/>
      <c r="Y311" s="29"/>
      <c r="Z311" s="29"/>
    </row>
    <row r="312" spans="1:26" ht="15" thickBot="1">
      <c r="A312" s="32" t="s">
        <v>340</v>
      </c>
      <c r="B312" s="29" t="s">
        <v>271</v>
      </c>
      <c r="C312" s="29" t="s">
        <v>283</v>
      </c>
      <c r="D312" s="29" t="s">
        <v>242</v>
      </c>
      <c r="E312" s="29" t="s">
        <v>8</v>
      </c>
      <c r="F312" s="29" t="s">
        <v>245</v>
      </c>
      <c r="G312" s="29" t="s">
        <v>246</v>
      </c>
      <c r="H312" s="32">
        <v>12</v>
      </c>
      <c r="I312" s="32">
        <v>4446.1499999999996</v>
      </c>
      <c r="J312" s="32">
        <v>53353.8</v>
      </c>
      <c r="K312" s="29"/>
      <c r="M312" s="29"/>
      <c r="N312" s="29"/>
      <c r="P312" s="29"/>
      <c r="Q312" s="29"/>
      <c r="S312" s="29"/>
      <c r="T312" s="29"/>
      <c r="V312" s="29"/>
      <c r="X312" s="29"/>
      <c r="Y312" s="29"/>
      <c r="Z312" s="29"/>
    </row>
    <row r="313" spans="1:26" ht="15" thickBot="1">
      <c r="A313" s="49">
        <v>45145</v>
      </c>
      <c r="B313" s="29" t="s">
        <v>254</v>
      </c>
      <c r="C313" s="29" t="s">
        <v>283</v>
      </c>
      <c r="D313" s="29" t="s">
        <v>242</v>
      </c>
      <c r="E313" s="29" t="s">
        <v>8</v>
      </c>
      <c r="F313" s="29" t="s">
        <v>250</v>
      </c>
      <c r="G313" s="29" t="s">
        <v>251</v>
      </c>
      <c r="H313" s="32">
        <v>12</v>
      </c>
      <c r="I313" s="32">
        <v>2393.9699999999998</v>
      </c>
      <c r="J313" s="32">
        <v>28727.64</v>
      </c>
      <c r="K313" s="29"/>
      <c r="M313" s="29"/>
      <c r="N313" s="29"/>
      <c r="P313" s="29"/>
      <c r="Q313" s="29"/>
      <c r="S313" s="29"/>
      <c r="T313" s="29"/>
      <c r="V313" s="29"/>
      <c r="X313" s="29"/>
      <c r="Y313" s="29"/>
      <c r="Z313" s="29"/>
    </row>
    <row r="314" spans="1:26" ht="15" thickBot="1">
      <c r="A314" s="49">
        <v>45266</v>
      </c>
      <c r="B314" s="29" t="s">
        <v>257</v>
      </c>
      <c r="C314" s="29" t="s">
        <v>273</v>
      </c>
      <c r="D314" s="29" t="s">
        <v>252</v>
      </c>
      <c r="E314" s="29" t="s">
        <v>5</v>
      </c>
      <c r="F314" s="29" t="s">
        <v>250</v>
      </c>
      <c r="G314" s="29" t="s">
        <v>284</v>
      </c>
      <c r="H314" s="32">
        <v>7</v>
      </c>
      <c r="I314" s="32">
        <v>256.57</v>
      </c>
      <c r="J314" s="32">
        <v>1795.99</v>
      </c>
      <c r="K314" s="29"/>
      <c r="M314" s="29"/>
      <c r="N314" s="29"/>
      <c r="P314" s="29"/>
      <c r="Q314" s="29"/>
      <c r="S314" s="29"/>
      <c r="T314" s="29"/>
      <c r="V314" s="29"/>
      <c r="X314" s="29"/>
      <c r="Y314" s="29"/>
      <c r="Z314" s="29"/>
    </row>
    <row r="315" spans="1:26" ht="15" thickBot="1">
      <c r="A315" s="32" t="s">
        <v>410</v>
      </c>
      <c r="B315" s="29" t="s">
        <v>271</v>
      </c>
      <c r="C315" s="29" t="s">
        <v>255</v>
      </c>
      <c r="D315" s="29" t="s">
        <v>237</v>
      </c>
      <c r="E315" s="29" t="s">
        <v>8</v>
      </c>
      <c r="F315" s="29" t="s">
        <v>245</v>
      </c>
      <c r="G315" s="29" t="s">
        <v>295</v>
      </c>
      <c r="H315" s="32">
        <v>9</v>
      </c>
      <c r="I315" s="32">
        <v>4218.3599999999997</v>
      </c>
      <c r="J315" s="32">
        <v>37965.24</v>
      </c>
      <c r="K315" s="29"/>
      <c r="M315" s="29"/>
      <c r="N315" s="29"/>
      <c r="P315" s="29"/>
      <c r="Q315" s="29"/>
      <c r="S315" s="29"/>
      <c r="T315" s="29"/>
      <c r="V315" s="29"/>
      <c r="X315" s="29"/>
      <c r="Y315" s="29"/>
      <c r="Z315" s="29"/>
    </row>
    <row r="316" spans="1:26" ht="15" thickBot="1">
      <c r="A316" s="32" t="s">
        <v>364</v>
      </c>
      <c r="B316" s="29" t="s">
        <v>254</v>
      </c>
      <c r="C316" s="29" t="s">
        <v>273</v>
      </c>
      <c r="D316" s="29" t="s">
        <v>252</v>
      </c>
      <c r="E316" s="29" t="s">
        <v>5</v>
      </c>
      <c r="F316" s="29" t="s">
        <v>245</v>
      </c>
      <c r="G316" s="29" t="s">
        <v>266</v>
      </c>
      <c r="H316" s="32">
        <v>8</v>
      </c>
      <c r="I316" s="32">
        <v>4930.67</v>
      </c>
      <c r="J316" s="32">
        <v>39445.360000000001</v>
      </c>
      <c r="K316" s="29"/>
      <c r="M316" s="29"/>
      <c r="N316" s="29"/>
      <c r="P316" s="29"/>
      <c r="Q316" s="29"/>
      <c r="S316" s="29"/>
      <c r="T316" s="29"/>
      <c r="V316" s="29"/>
      <c r="X316" s="29"/>
      <c r="Y316" s="29"/>
      <c r="Z316" s="29"/>
    </row>
    <row r="317" spans="1:26" ht="15" thickBot="1">
      <c r="A317" s="32" t="s">
        <v>411</v>
      </c>
      <c r="B317" s="29" t="s">
        <v>235</v>
      </c>
      <c r="C317" s="29" t="s">
        <v>244</v>
      </c>
      <c r="D317" s="29" t="s">
        <v>237</v>
      </c>
      <c r="E317" s="29" t="s">
        <v>8</v>
      </c>
      <c r="F317" s="29" t="s">
        <v>245</v>
      </c>
      <c r="G317" s="29" t="s">
        <v>266</v>
      </c>
      <c r="H317" s="32">
        <v>2</v>
      </c>
      <c r="I317" s="32">
        <v>1264.68</v>
      </c>
      <c r="J317" s="32">
        <v>2529.36</v>
      </c>
      <c r="K317" s="29"/>
      <c r="M317" s="29"/>
      <c r="N317" s="29"/>
      <c r="P317" s="29"/>
      <c r="Q317" s="29"/>
      <c r="S317" s="29"/>
      <c r="T317" s="29"/>
      <c r="V317" s="29"/>
      <c r="X317" s="29"/>
      <c r="Y317" s="29"/>
      <c r="Z317" s="29"/>
    </row>
    <row r="318" spans="1:26" ht="15" thickBot="1">
      <c r="A318" s="49">
        <v>45113</v>
      </c>
      <c r="B318" s="29" t="s">
        <v>230</v>
      </c>
      <c r="C318" s="29" t="s">
        <v>274</v>
      </c>
      <c r="D318" s="29" t="s">
        <v>232</v>
      </c>
      <c r="E318" s="29" t="s">
        <v>6</v>
      </c>
      <c r="F318" s="29" t="s">
        <v>238</v>
      </c>
      <c r="G318" s="29" t="s">
        <v>256</v>
      </c>
      <c r="H318" s="32">
        <v>16</v>
      </c>
      <c r="I318" s="32">
        <v>2192.7399999999998</v>
      </c>
      <c r="J318" s="32">
        <v>35083.839999999997</v>
      </c>
      <c r="K318" s="29"/>
      <c r="M318" s="29"/>
      <c r="N318" s="29"/>
      <c r="P318" s="29"/>
      <c r="Q318" s="29"/>
      <c r="S318" s="29"/>
      <c r="T318" s="29"/>
      <c r="V318" s="29"/>
      <c r="X318" s="29"/>
      <c r="Y318" s="29"/>
      <c r="Z318" s="29"/>
    </row>
    <row r="319" spans="1:26" ht="15" thickBot="1">
      <c r="A319" s="32" t="s">
        <v>272</v>
      </c>
      <c r="B319" s="29" t="s">
        <v>235</v>
      </c>
      <c r="C319" s="29" t="s">
        <v>274</v>
      </c>
      <c r="D319" s="29" t="s">
        <v>232</v>
      </c>
      <c r="E319" s="29" t="s">
        <v>6</v>
      </c>
      <c r="F319" s="29" t="s">
        <v>250</v>
      </c>
      <c r="G319" s="29" t="s">
        <v>277</v>
      </c>
      <c r="H319" s="32">
        <v>14</v>
      </c>
      <c r="I319" s="32">
        <v>3943.42</v>
      </c>
      <c r="J319" s="32">
        <v>55207.88</v>
      </c>
      <c r="K319" s="29"/>
      <c r="M319" s="29"/>
      <c r="N319" s="29"/>
      <c r="P319" s="29"/>
      <c r="Q319" s="29"/>
      <c r="S319" s="29"/>
      <c r="T319" s="29"/>
      <c r="V319" s="29"/>
      <c r="X319" s="29"/>
      <c r="Y319" s="29"/>
      <c r="Z319" s="29"/>
    </row>
    <row r="320" spans="1:26" ht="15" thickBot="1">
      <c r="A320" s="49">
        <v>44994</v>
      </c>
      <c r="B320" s="29" t="s">
        <v>268</v>
      </c>
      <c r="C320" s="29" t="s">
        <v>276</v>
      </c>
      <c r="D320" s="29" t="s">
        <v>247</v>
      </c>
      <c r="E320" s="29" t="s">
        <v>6</v>
      </c>
      <c r="F320" s="29" t="s">
        <v>250</v>
      </c>
      <c r="G320" s="29" t="s">
        <v>293</v>
      </c>
      <c r="H320" s="32">
        <v>11</v>
      </c>
      <c r="I320" s="32">
        <v>2951.18</v>
      </c>
      <c r="J320" s="32">
        <v>32462.98</v>
      </c>
      <c r="K320" s="29"/>
      <c r="M320" s="29"/>
      <c r="N320" s="29"/>
      <c r="P320" s="29"/>
      <c r="Q320" s="29"/>
      <c r="S320" s="29"/>
      <c r="T320" s="29"/>
      <c r="V320" s="29"/>
      <c r="X320" s="29"/>
      <c r="Y320" s="29"/>
      <c r="Z320" s="29"/>
    </row>
    <row r="321" spans="1:26" ht="15" thickBot="1">
      <c r="A321" s="32" t="s">
        <v>412</v>
      </c>
      <c r="B321" s="29" t="s">
        <v>260</v>
      </c>
      <c r="C321" s="29" t="s">
        <v>244</v>
      </c>
      <c r="D321" s="29" t="s">
        <v>237</v>
      </c>
      <c r="E321" s="29" t="s">
        <v>8</v>
      </c>
      <c r="F321" s="29" t="s">
        <v>250</v>
      </c>
      <c r="G321" s="29" t="s">
        <v>284</v>
      </c>
      <c r="H321" s="32">
        <v>11</v>
      </c>
      <c r="I321" s="32">
        <v>4325.83</v>
      </c>
      <c r="J321" s="32">
        <v>47584.13</v>
      </c>
      <c r="K321" s="29"/>
      <c r="M321" s="29"/>
      <c r="N321" s="29"/>
      <c r="P321" s="29"/>
      <c r="Q321" s="29"/>
      <c r="S321" s="29"/>
      <c r="T321" s="29"/>
      <c r="V321" s="29"/>
      <c r="X321" s="29"/>
      <c r="Y321" s="29"/>
      <c r="Z321" s="29"/>
    </row>
    <row r="322" spans="1:26" ht="15" thickBot="1">
      <c r="A322" s="32" t="s">
        <v>413</v>
      </c>
      <c r="B322" s="29" t="s">
        <v>260</v>
      </c>
      <c r="C322" s="29" t="s">
        <v>276</v>
      </c>
      <c r="D322" s="29" t="s">
        <v>247</v>
      </c>
      <c r="E322" s="29" t="s">
        <v>6</v>
      </c>
      <c r="F322" s="29" t="s">
        <v>259</v>
      </c>
      <c r="G322" s="29" t="s">
        <v>299</v>
      </c>
      <c r="H322" s="32">
        <v>2</v>
      </c>
      <c r="I322" s="32">
        <v>1417.87</v>
      </c>
      <c r="J322" s="32">
        <v>2835.74</v>
      </c>
      <c r="K322" s="29"/>
      <c r="M322" s="29"/>
      <c r="N322" s="29"/>
      <c r="P322" s="29"/>
      <c r="Q322" s="29"/>
      <c r="S322" s="29"/>
      <c r="T322" s="29"/>
      <c r="V322" s="29"/>
      <c r="X322" s="29"/>
      <c r="Y322" s="29"/>
      <c r="Z322" s="29"/>
    </row>
    <row r="323" spans="1:26" ht="15" thickBot="1">
      <c r="A323" s="32" t="s">
        <v>414</v>
      </c>
      <c r="B323" s="29" t="s">
        <v>260</v>
      </c>
      <c r="C323" s="29" t="s">
        <v>249</v>
      </c>
      <c r="D323" s="29" t="s">
        <v>232</v>
      </c>
      <c r="E323" s="29" t="s">
        <v>6</v>
      </c>
      <c r="F323" s="29" t="s">
        <v>238</v>
      </c>
      <c r="G323" s="29" t="s">
        <v>239</v>
      </c>
      <c r="H323" s="32">
        <v>13</v>
      </c>
      <c r="I323" s="32">
        <v>2511.64</v>
      </c>
      <c r="J323" s="32">
        <v>32651.32</v>
      </c>
      <c r="K323" s="29"/>
      <c r="M323" s="29"/>
      <c r="N323" s="29"/>
      <c r="P323" s="29"/>
      <c r="Q323" s="29"/>
      <c r="S323" s="29"/>
      <c r="T323" s="29"/>
      <c r="V323" s="29"/>
      <c r="X323" s="29"/>
      <c r="Y323" s="29"/>
      <c r="Z323" s="29"/>
    </row>
    <row r="324" spans="1:26" ht="15" thickBot="1">
      <c r="A324" s="49">
        <v>44931</v>
      </c>
      <c r="B324" s="29" t="s">
        <v>268</v>
      </c>
      <c r="C324" s="29" t="s">
        <v>249</v>
      </c>
      <c r="D324" s="29" t="s">
        <v>232</v>
      </c>
      <c r="E324" s="29" t="s">
        <v>6</v>
      </c>
      <c r="F324" s="29" t="s">
        <v>233</v>
      </c>
      <c r="G324" s="29" t="s">
        <v>234</v>
      </c>
      <c r="H324" s="32">
        <v>7</v>
      </c>
      <c r="I324" s="32">
        <v>862.76</v>
      </c>
      <c r="J324" s="32">
        <v>6039.32</v>
      </c>
      <c r="K324" s="29"/>
      <c r="M324" s="29"/>
      <c r="N324" s="29"/>
      <c r="P324" s="29"/>
      <c r="Q324" s="29"/>
      <c r="S324" s="29"/>
      <c r="T324" s="29"/>
      <c r="V324" s="29"/>
      <c r="X324" s="29"/>
      <c r="Y324" s="29"/>
      <c r="Z324" s="29"/>
    </row>
    <row r="325" spans="1:26" ht="15" thickBot="1">
      <c r="A325" s="49">
        <v>44936</v>
      </c>
      <c r="B325" s="29" t="s">
        <v>235</v>
      </c>
      <c r="C325" s="29" t="s">
        <v>258</v>
      </c>
      <c r="D325" s="29" t="s">
        <v>242</v>
      </c>
      <c r="E325" s="29" t="s">
        <v>8</v>
      </c>
      <c r="F325" s="29" t="s">
        <v>245</v>
      </c>
      <c r="G325" s="29" t="s">
        <v>295</v>
      </c>
      <c r="H325" s="32">
        <v>18</v>
      </c>
      <c r="I325" s="32">
        <v>1412.15</v>
      </c>
      <c r="J325" s="32">
        <v>25418.7</v>
      </c>
      <c r="K325" s="29"/>
      <c r="M325" s="29"/>
      <c r="N325" s="29"/>
      <c r="P325" s="29"/>
      <c r="Q325" s="29"/>
      <c r="S325" s="29"/>
      <c r="T325" s="29"/>
      <c r="V325" s="29"/>
      <c r="X325" s="29"/>
      <c r="Y325" s="29"/>
      <c r="Z325" s="29"/>
    </row>
    <row r="326" spans="1:26" ht="15" thickBot="1">
      <c r="A326" s="49">
        <v>45261</v>
      </c>
      <c r="B326" s="29" t="s">
        <v>268</v>
      </c>
      <c r="C326" s="29" t="s">
        <v>316</v>
      </c>
      <c r="D326" s="29" t="s">
        <v>247</v>
      </c>
      <c r="E326" s="29" t="s">
        <v>6</v>
      </c>
      <c r="F326" s="29" t="s">
        <v>238</v>
      </c>
      <c r="G326" s="29" t="s">
        <v>239</v>
      </c>
      <c r="H326" s="32">
        <v>6</v>
      </c>
      <c r="I326" s="32">
        <v>3295.29</v>
      </c>
      <c r="J326" s="32">
        <v>19771.740000000002</v>
      </c>
      <c r="K326" s="29"/>
      <c r="M326" s="29"/>
      <c r="N326" s="29"/>
      <c r="P326" s="29"/>
      <c r="Q326" s="29"/>
      <c r="S326" s="29"/>
      <c r="T326" s="29"/>
      <c r="V326" s="29"/>
      <c r="X326" s="29"/>
      <c r="Y326" s="29"/>
      <c r="Z326" s="29"/>
    </row>
    <row r="327" spans="1:26" ht="15" thickBot="1">
      <c r="A327" s="32" t="s">
        <v>415</v>
      </c>
      <c r="B327" s="29" t="s">
        <v>280</v>
      </c>
      <c r="C327" s="29" t="s">
        <v>236</v>
      </c>
      <c r="D327" s="29" t="s">
        <v>237</v>
      </c>
      <c r="E327" s="29" t="s">
        <v>8</v>
      </c>
      <c r="F327" s="29" t="s">
        <v>238</v>
      </c>
      <c r="G327" s="29" t="s">
        <v>296</v>
      </c>
      <c r="H327" s="32">
        <v>18</v>
      </c>
      <c r="I327" s="32">
        <v>4132.6899999999996</v>
      </c>
      <c r="J327" s="32">
        <v>74388.42</v>
      </c>
      <c r="K327" s="29"/>
      <c r="M327" s="29"/>
      <c r="N327" s="29"/>
      <c r="P327" s="29"/>
      <c r="Q327" s="29"/>
      <c r="S327" s="29"/>
      <c r="T327" s="29"/>
      <c r="V327" s="29"/>
      <c r="X327" s="29"/>
      <c r="Y327" s="29"/>
      <c r="Z327" s="29"/>
    </row>
    <row r="328" spans="1:26" ht="15" thickBot="1">
      <c r="A328" s="49">
        <v>45179</v>
      </c>
      <c r="B328" s="29" t="s">
        <v>240</v>
      </c>
      <c r="C328" s="29" t="s">
        <v>244</v>
      </c>
      <c r="D328" s="29" t="s">
        <v>237</v>
      </c>
      <c r="E328" s="29" t="s">
        <v>8</v>
      </c>
      <c r="F328" s="29" t="s">
        <v>259</v>
      </c>
      <c r="G328" s="29" t="s">
        <v>298</v>
      </c>
      <c r="H328" s="32">
        <v>7</v>
      </c>
      <c r="I328" s="32">
        <v>1557.83</v>
      </c>
      <c r="J328" s="32">
        <v>10904.81</v>
      </c>
      <c r="K328" s="29"/>
      <c r="M328" s="29"/>
      <c r="N328" s="29"/>
      <c r="P328" s="29"/>
      <c r="Q328" s="29"/>
      <c r="S328" s="29"/>
      <c r="T328" s="29"/>
      <c r="V328" s="29"/>
      <c r="X328" s="29"/>
      <c r="Y328" s="29"/>
      <c r="Z328" s="29"/>
    </row>
    <row r="329" spans="1:26" ht="15" thickBot="1">
      <c r="A329" s="32" t="s">
        <v>416</v>
      </c>
      <c r="B329" s="29" t="s">
        <v>271</v>
      </c>
      <c r="C329" s="29" t="s">
        <v>273</v>
      </c>
      <c r="D329" s="29" t="s">
        <v>252</v>
      </c>
      <c r="E329" s="29" t="s">
        <v>5</v>
      </c>
      <c r="F329" s="29" t="s">
        <v>238</v>
      </c>
      <c r="G329" s="29" t="s">
        <v>256</v>
      </c>
      <c r="H329" s="32">
        <v>7</v>
      </c>
      <c r="I329" s="32">
        <v>4673.3100000000004</v>
      </c>
      <c r="J329" s="32">
        <v>32713.17</v>
      </c>
      <c r="K329" s="29"/>
      <c r="M329" s="29"/>
      <c r="N329" s="29"/>
      <c r="P329" s="29"/>
      <c r="Q329" s="29"/>
      <c r="S329" s="29"/>
      <c r="T329" s="29"/>
      <c r="V329" s="29"/>
      <c r="X329" s="29"/>
      <c r="Y329" s="29"/>
      <c r="Z329" s="29"/>
    </row>
    <row r="330" spans="1:26" ht="15" thickBot="1">
      <c r="A330" s="32" t="s">
        <v>379</v>
      </c>
      <c r="B330" s="29" t="s">
        <v>240</v>
      </c>
      <c r="C330" s="29" t="s">
        <v>249</v>
      </c>
      <c r="D330" s="29" t="s">
        <v>232</v>
      </c>
      <c r="E330" s="29" t="s">
        <v>6</v>
      </c>
      <c r="F330" s="29" t="s">
        <v>250</v>
      </c>
      <c r="G330" s="29" t="s">
        <v>293</v>
      </c>
      <c r="H330" s="32">
        <v>5</v>
      </c>
      <c r="I330" s="32">
        <v>3775.72</v>
      </c>
      <c r="J330" s="32">
        <v>18878.599999999999</v>
      </c>
      <c r="K330" s="29"/>
      <c r="M330" s="29"/>
      <c r="N330" s="29"/>
      <c r="P330" s="29"/>
      <c r="Q330" s="29"/>
      <c r="S330" s="29"/>
      <c r="T330" s="29"/>
      <c r="V330" s="29"/>
      <c r="X330" s="29"/>
      <c r="Y330" s="29"/>
      <c r="Z330" s="29"/>
    </row>
    <row r="331" spans="1:26" ht="15" thickBot="1">
      <c r="A331" s="32" t="s">
        <v>317</v>
      </c>
      <c r="B331" s="29" t="s">
        <v>268</v>
      </c>
      <c r="C331" s="29" t="s">
        <v>249</v>
      </c>
      <c r="D331" s="29" t="s">
        <v>232</v>
      </c>
      <c r="E331" s="29" t="s">
        <v>6</v>
      </c>
      <c r="F331" s="29" t="s">
        <v>233</v>
      </c>
      <c r="G331" s="29" t="s">
        <v>287</v>
      </c>
      <c r="H331" s="32">
        <v>6</v>
      </c>
      <c r="I331" s="32">
        <v>3524.48</v>
      </c>
      <c r="J331" s="32">
        <v>21146.880000000001</v>
      </c>
      <c r="K331" s="29"/>
      <c r="M331" s="29"/>
      <c r="N331" s="29"/>
      <c r="P331" s="29"/>
      <c r="Q331" s="29"/>
      <c r="S331" s="29"/>
      <c r="T331" s="29"/>
      <c r="V331" s="29"/>
      <c r="X331" s="29"/>
      <c r="Y331" s="29"/>
      <c r="Z331" s="29"/>
    </row>
    <row r="332" spans="1:26" ht="15" thickBot="1">
      <c r="A332" s="32" t="s">
        <v>368</v>
      </c>
      <c r="B332" s="29" t="s">
        <v>248</v>
      </c>
      <c r="C332" s="29" t="s">
        <v>276</v>
      </c>
      <c r="D332" s="29" t="s">
        <v>247</v>
      </c>
      <c r="E332" s="29" t="s">
        <v>6</v>
      </c>
      <c r="F332" s="29" t="s">
        <v>259</v>
      </c>
      <c r="G332" s="29" t="s">
        <v>182</v>
      </c>
      <c r="H332" s="32">
        <v>1</v>
      </c>
      <c r="I332" s="32">
        <v>2961.1</v>
      </c>
      <c r="J332" s="32">
        <v>2961.1</v>
      </c>
      <c r="K332" s="29"/>
      <c r="M332" s="29"/>
      <c r="N332" s="29"/>
      <c r="P332" s="29"/>
      <c r="Q332" s="29"/>
      <c r="S332" s="29"/>
      <c r="T332" s="29"/>
      <c r="V332" s="29"/>
      <c r="X332" s="29"/>
      <c r="Y332" s="29"/>
      <c r="Z332" s="29"/>
    </row>
    <row r="333" spans="1:26" ht="15" thickBot="1">
      <c r="A333" s="49">
        <v>44930</v>
      </c>
      <c r="B333" s="29" t="s">
        <v>240</v>
      </c>
      <c r="C333" s="29" t="s">
        <v>241</v>
      </c>
      <c r="D333" s="29" t="s">
        <v>242</v>
      </c>
      <c r="E333" s="29" t="s">
        <v>8</v>
      </c>
      <c r="F333" s="29" t="s">
        <v>238</v>
      </c>
      <c r="G333" s="29" t="s">
        <v>303</v>
      </c>
      <c r="H333" s="32">
        <v>13</v>
      </c>
      <c r="I333" s="32">
        <v>513.05999999999995</v>
      </c>
      <c r="J333" s="32">
        <v>6669.78</v>
      </c>
      <c r="K333" s="29"/>
      <c r="M333" s="29"/>
      <c r="N333" s="29"/>
      <c r="P333" s="29"/>
      <c r="Q333" s="29"/>
      <c r="S333" s="29"/>
      <c r="T333" s="29"/>
      <c r="V333" s="29"/>
      <c r="X333" s="29"/>
      <c r="Y333" s="29"/>
      <c r="Z333" s="29"/>
    </row>
    <row r="334" spans="1:26" ht="15" thickBot="1">
      <c r="A334" s="32" t="s">
        <v>392</v>
      </c>
      <c r="B334" s="29" t="s">
        <v>240</v>
      </c>
      <c r="C334" s="29" t="s">
        <v>241</v>
      </c>
      <c r="D334" s="29" t="s">
        <v>242</v>
      </c>
      <c r="E334" s="29" t="s">
        <v>8</v>
      </c>
      <c r="F334" s="29" t="s">
        <v>233</v>
      </c>
      <c r="G334" s="29" t="s">
        <v>301</v>
      </c>
      <c r="H334" s="32">
        <v>3</v>
      </c>
      <c r="I334" s="32">
        <v>953.26</v>
      </c>
      <c r="J334" s="32">
        <v>2859.78</v>
      </c>
      <c r="K334" s="29"/>
      <c r="M334" s="29"/>
      <c r="N334" s="29"/>
      <c r="P334" s="29"/>
      <c r="Q334" s="29"/>
      <c r="S334" s="29"/>
      <c r="T334" s="29"/>
      <c r="V334" s="29"/>
      <c r="X334" s="29"/>
      <c r="Y334" s="29"/>
      <c r="Z334" s="29"/>
    </row>
    <row r="335" spans="1:26" ht="15" thickBot="1">
      <c r="A335" s="32" t="s">
        <v>359</v>
      </c>
      <c r="B335" s="29" t="s">
        <v>230</v>
      </c>
      <c r="C335" s="29" t="s">
        <v>281</v>
      </c>
      <c r="D335" s="29" t="s">
        <v>252</v>
      </c>
      <c r="E335" s="29" t="s">
        <v>5</v>
      </c>
      <c r="F335" s="29" t="s">
        <v>238</v>
      </c>
      <c r="G335" s="29" t="s">
        <v>256</v>
      </c>
      <c r="H335" s="32">
        <v>2</v>
      </c>
      <c r="I335" s="32">
        <v>1189.6500000000001</v>
      </c>
      <c r="J335" s="32">
        <v>2379.3000000000002</v>
      </c>
      <c r="K335" s="29"/>
      <c r="M335" s="29"/>
      <c r="N335" s="29"/>
      <c r="P335" s="29"/>
      <c r="Q335" s="29"/>
      <c r="S335" s="29"/>
      <c r="T335" s="29"/>
      <c r="V335" s="29"/>
      <c r="X335" s="29"/>
      <c r="Y335" s="29"/>
      <c r="Z335" s="29"/>
    </row>
    <row r="336" spans="1:26" ht="15" thickBot="1">
      <c r="A336" s="49">
        <v>44933</v>
      </c>
      <c r="B336" s="29" t="s">
        <v>271</v>
      </c>
      <c r="C336" s="29" t="s">
        <v>241</v>
      </c>
      <c r="D336" s="29" t="s">
        <v>242</v>
      </c>
      <c r="E336" s="29" t="s">
        <v>8</v>
      </c>
      <c r="F336" s="29" t="s">
        <v>238</v>
      </c>
      <c r="G336" s="29" t="s">
        <v>256</v>
      </c>
      <c r="H336" s="32">
        <v>1</v>
      </c>
      <c r="I336" s="32">
        <v>1915.3</v>
      </c>
      <c r="J336" s="32">
        <v>1915.3</v>
      </c>
      <c r="K336" s="29"/>
      <c r="M336" s="29"/>
      <c r="N336" s="29"/>
      <c r="P336" s="29"/>
      <c r="Q336" s="29"/>
      <c r="S336" s="29"/>
      <c r="T336" s="29"/>
      <c r="V336" s="29"/>
      <c r="X336" s="29"/>
      <c r="Y336" s="29"/>
      <c r="Z336" s="29"/>
    </row>
    <row r="337" spans="1:26" ht="15" thickBot="1">
      <c r="A337" s="49">
        <v>45178</v>
      </c>
      <c r="B337" s="29" t="s">
        <v>268</v>
      </c>
      <c r="C337" s="29" t="s">
        <v>255</v>
      </c>
      <c r="D337" s="29" t="s">
        <v>237</v>
      </c>
      <c r="E337" s="29" t="s">
        <v>8</v>
      </c>
      <c r="F337" s="29" t="s">
        <v>238</v>
      </c>
      <c r="G337" s="29" t="s">
        <v>296</v>
      </c>
      <c r="H337" s="32">
        <v>8</v>
      </c>
      <c r="I337" s="32">
        <v>3927.74</v>
      </c>
      <c r="J337" s="32">
        <v>31421.919999999998</v>
      </c>
      <c r="K337" s="29"/>
      <c r="M337" s="29"/>
      <c r="N337" s="29"/>
      <c r="P337" s="29"/>
      <c r="Q337" s="29"/>
      <c r="S337" s="29"/>
      <c r="T337" s="29"/>
      <c r="V337" s="29"/>
      <c r="X337" s="29"/>
      <c r="Y337" s="29"/>
      <c r="Z337" s="29"/>
    </row>
    <row r="338" spans="1:26" ht="15" thickBot="1">
      <c r="A338" s="32" t="s">
        <v>407</v>
      </c>
      <c r="B338" s="29" t="s">
        <v>280</v>
      </c>
      <c r="C338" s="29" t="s">
        <v>313</v>
      </c>
      <c r="D338" s="29" t="s">
        <v>252</v>
      </c>
      <c r="E338" s="29" t="s">
        <v>5</v>
      </c>
      <c r="F338" s="29" t="s">
        <v>245</v>
      </c>
      <c r="G338" s="29" t="s">
        <v>295</v>
      </c>
      <c r="H338" s="32">
        <v>10</v>
      </c>
      <c r="I338" s="32">
        <v>2682.33</v>
      </c>
      <c r="J338" s="32">
        <v>26823.3</v>
      </c>
      <c r="K338" s="29"/>
      <c r="M338" s="29"/>
      <c r="N338" s="29"/>
      <c r="P338" s="29"/>
      <c r="Q338" s="29"/>
      <c r="S338" s="29"/>
      <c r="T338" s="29"/>
      <c r="V338" s="29"/>
      <c r="X338" s="29"/>
      <c r="Y338" s="29"/>
      <c r="Z338" s="29"/>
    </row>
    <row r="339" spans="1:26" ht="15" thickBot="1">
      <c r="A339" s="49">
        <v>44995</v>
      </c>
      <c r="B339" s="29" t="s">
        <v>271</v>
      </c>
      <c r="C339" s="29" t="s">
        <v>244</v>
      </c>
      <c r="D339" s="29" t="s">
        <v>237</v>
      </c>
      <c r="E339" s="29" t="s">
        <v>8</v>
      </c>
      <c r="F339" s="29" t="s">
        <v>259</v>
      </c>
      <c r="G339" s="29" t="s">
        <v>298</v>
      </c>
      <c r="H339" s="32">
        <v>6</v>
      </c>
      <c r="I339" s="32">
        <v>4086.27</v>
      </c>
      <c r="J339" s="32">
        <v>24517.62</v>
      </c>
      <c r="K339" s="29"/>
      <c r="M339" s="29"/>
      <c r="N339" s="29"/>
      <c r="P339" s="29"/>
      <c r="Q339" s="29"/>
      <c r="S339" s="29"/>
      <c r="T339" s="29"/>
      <c r="V339" s="29"/>
      <c r="X339" s="29"/>
      <c r="Y339" s="29"/>
      <c r="Z339" s="29"/>
    </row>
    <row r="340" spans="1:26" ht="15" thickBot="1">
      <c r="A340" s="32" t="s">
        <v>324</v>
      </c>
      <c r="B340" s="29" t="s">
        <v>271</v>
      </c>
      <c r="C340" s="29" t="s">
        <v>244</v>
      </c>
      <c r="D340" s="29" t="s">
        <v>237</v>
      </c>
      <c r="E340" s="29" t="s">
        <v>8</v>
      </c>
      <c r="F340" s="29" t="s">
        <v>259</v>
      </c>
      <c r="G340" s="29" t="s">
        <v>179</v>
      </c>
      <c r="H340" s="32">
        <v>8</v>
      </c>
      <c r="I340" s="32">
        <v>827.02</v>
      </c>
      <c r="J340" s="32">
        <v>6616.16</v>
      </c>
      <c r="K340" s="29"/>
      <c r="M340" s="29"/>
      <c r="N340" s="29"/>
      <c r="P340" s="29"/>
      <c r="Q340" s="29"/>
      <c r="S340" s="29"/>
      <c r="T340" s="29"/>
      <c r="V340" s="29"/>
      <c r="X340" s="29"/>
      <c r="Y340" s="29"/>
      <c r="Z340" s="29"/>
    </row>
    <row r="341" spans="1:26" ht="15" thickBot="1">
      <c r="A341" s="49">
        <v>45051</v>
      </c>
      <c r="B341" s="29" t="s">
        <v>280</v>
      </c>
      <c r="C341" s="29" t="s">
        <v>281</v>
      </c>
      <c r="D341" s="29" t="s">
        <v>252</v>
      </c>
      <c r="E341" s="29" t="s">
        <v>5</v>
      </c>
      <c r="F341" s="29" t="s">
        <v>250</v>
      </c>
      <c r="G341" s="29" t="s">
        <v>277</v>
      </c>
      <c r="H341" s="32">
        <v>14</v>
      </c>
      <c r="I341" s="32">
        <v>4728.4399999999996</v>
      </c>
      <c r="J341" s="32">
        <v>66198.16</v>
      </c>
      <c r="K341" s="29"/>
      <c r="M341" s="29"/>
      <c r="N341" s="29"/>
      <c r="P341" s="29"/>
      <c r="Q341" s="29"/>
      <c r="S341" s="29"/>
      <c r="T341" s="29"/>
      <c r="V341" s="29"/>
      <c r="X341" s="29"/>
      <c r="Y341" s="29"/>
      <c r="Z341" s="29"/>
    </row>
    <row r="342" spans="1:26" ht="15" thickBot="1">
      <c r="A342" s="32" t="s">
        <v>417</v>
      </c>
      <c r="B342" s="29" t="s">
        <v>248</v>
      </c>
      <c r="C342" s="29" t="s">
        <v>261</v>
      </c>
      <c r="D342" s="29" t="s">
        <v>247</v>
      </c>
      <c r="E342" s="29" t="s">
        <v>6</v>
      </c>
      <c r="F342" s="29" t="s">
        <v>233</v>
      </c>
      <c r="G342" s="29" t="s">
        <v>287</v>
      </c>
      <c r="H342" s="32">
        <v>11</v>
      </c>
      <c r="I342" s="32">
        <v>575.73</v>
      </c>
      <c r="J342" s="32">
        <v>6333.03</v>
      </c>
      <c r="K342" s="29"/>
      <c r="M342" s="29"/>
      <c r="N342" s="29"/>
      <c r="P342" s="29"/>
      <c r="Q342" s="29"/>
      <c r="S342" s="29"/>
      <c r="T342" s="29"/>
      <c r="V342" s="29"/>
      <c r="X342" s="29"/>
      <c r="Y342" s="29"/>
      <c r="Z342" s="29"/>
    </row>
    <row r="343" spans="1:26" ht="15" thickBot="1">
      <c r="A343" s="32" t="s">
        <v>418</v>
      </c>
      <c r="B343" s="29" t="s">
        <v>240</v>
      </c>
      <c r="C343" s="29" t="s">
        <v>274</v>
      </c>
      <c r="D343" s="29" t="s">
        <v>232</v>
      </c>
      <c r="E343" s="29" t="s">
        <v>6</v>
      </c>
      <c r="F343" s="29" t="s">
        <v>233</v>
      </c>
      <c r="G343" s="29" t="s">
        <v>287</v>
      </c>
      <c r="H343" s="32">
        <v>4</v>
      </c>
      <c r="I343" s="32">
        <v>578.35</v>
      </c>
      <c r="J343" s="32">
        <v>2313.4</v>
      </c>
      <c r="K343" s="29"/>
      <c r="M343" s="29"/>
      <c r="N343" s="29"/>
      <c r="P343" s="29"/>
      <c r="Q343" s="29"/>
      <c r="S343" s="29"/>
      <c r="T343" s="29"/>
      <c r="V343" s="29"/>
      <c r="X343" s="29"/>
      <c r="Y343" s="29"/>
      <c r="Z343" s="29"/>
    </row>
    <row r="344" spans="1:26" ht="15" thickBot="1">
      <c r="A344" s="32" t="s">
        <v>419</v>
      </c>
      <c r="B344" s="29" t="s">
        <v>268</v>
      </c>
      <c r="C344" s="29" t="s">
        <v>244</v>
      </c>
      <c r="D344" s="29" t="s">
        <v>237</v>
      </c>
      <c r="E344" s="29" t="s">
        <v>8</v>
      </c>
      <c r="F344" s="29" t="s">
        <v>238</v>
      </c>
      <c r="G344" s="29" t="s">
        <v>239</v>
      </c>
      <c r="H344" s="32">
        <v>8</v>
      </c>
      <c r="I344" s="32">
        <v>3043.72</v>
      </c>
      <c r="J344" s="32">
        <v>24349.759999999998</v>
      </c>
      <c r="K344" s="29"/>
      <c r="M344" s="29"/>
      <c r="N344" s="29"/>
      <c r="P344" s="29"/>
      <c r="Q344" s="29"/>
      <c r="S344" s="29"/>
      <c r="T344" s="29"/>
      <c r="V344" s="29"/>
      <c r="X344" s="29"/>
      <c r="Y344" s="29"/>
      <c r="Z344" s="29"/>
    </row>
    <row r="345" spans="1:26" ht="15" thickBot="1">
      <c r="A345" s="32" t="s">
        <v>410</v>
      </c>
      <c r="B345" s="29" t="s">
        <v>254</v>
      </c>
      <c r="C345" s="29" t="s">
        <v>258</v>
      </c>
      <c r="D345" s="29" t="s">
        <v>242</v>
      </c>
      <c r="E345" s="29" t="s">
        <v>8</v>
      </c>
      <c r="F345" s="29" t="s">
        <v>233</v>
      </c>
      <c r="G345" s="29" t="s">
        <v>234</v>
      </c>
      <c r="H345" s="32">
        <v>10</v>
      </c>
      <c r="I345" s="32">
        <v>3339.72</v>
      </c>
      <c r="J345" s="32">
        <v>33397.199999999997</v>
      </c>
      <c r="K345" s="29"/>
      <c r="M345" s="29"/>
      <c r="N345" s="29"/>
      <c r="P345" s="29"/>
      <c r="Q345" s="29"/>
      <c r="S345" s="29"/>
      <c r="T345" s="29"/>
      <c r="V345" s="29"/>
      <c r="X345" s="29"/>
      <c r="Y345" s="29"/>
      <c r="Z345" s="29"/>
    </row>
    <row r="346" spans="1:26" ht="15" thickBot="1">
      <c r="A346" s="49">
        <v>45269</v>
      </c>
      <c r="B346" s="29" t="s">
        <v>230</v>
      </c>
      <c r="C346" s="29" t="s">
        <v>281</v>
      </c>
      <c r="D346" s="29" t="s">
        <v>252</v>
      </c>
      <c r="E346" s="29" t="s">
        <v>5</v>
      </c>
      <c r="F346" s="29" t="s">
        <v>233</v>
      </c>
      <c r="G346" s="29" t="s">
        <v>234</v>
      </c>
      <c r="H346" s="32">
        <v>7</v>
      </c>
      <c r="I346" s="32">
        <v>2286.4</v>
      </c>
      <c r="J346" s="32">
        <v>16004.8</v>
      </c>
      <c r="K346" s="29"/>
      <c r="M346" s="29"/>
      <c r="N346" s="29"/>
      <c r="P346" s="29"/>
      <c r="Q346" s="29"/>
      <c r="S346" s="29"/>
      <c r="T346" s="29"/>
      <c r="V346" s="29"/>
      <c r="X346" s="29"/>
      <c r="Y346" s="29"/>
      <c r="Z346" s="29"/>
    </row>
    <row r="347" spans="1:26" ht="15" thickBot="1">
      <c r="A347" s="32" t="s">
        <v>312</v>
      </c>
      <c r="B347" s="29" t="s">
        <v>271</v>
      </c>
      <c r="C347" s="29" t="s">
        <v>255</v>
      </c>
      <c r="D347" s="29" t="s">
        <v>237</v>
      </c>
      <c r="E347" s="29" t="s">
        <v>8</v>
      </c>
      <c r="F347" s="29" t="s">
        <v>238</v>
      </c>
      <c r="G347" s="29" t="s">
        <v>296</v>
      </c>
      <c r="H347" s="32">
        <v>6</v>
      </c>
      <c r="I347" s="32">
        <v>4862.26</v>
      </c>
      <c r="J347" s="32">
        <v>29173.56</v>
      </c>
      <c r="K347" s="29"/>
      <c r="M347" s="29"/>
      <c r="N347" s="29"/>
      <c r="P347" s="29"/>
      <c r="Q347" s="29"/>
      <c r="S347" s="29"/>
      <c r="T347" s="29"/>
      <c r="V347" s="29"/>
      <c r="X347" s="29"/>
      <c r="Y347" s="29"/>
      <c r="Z347" s="29"/>
    </row>
    <row r="348" spans="1:26" ht="15" thickBot="1">
      <c r="A348" s="32" t="s">
        <v>389</v>
      </c>
      <c r="B348" s="29" t="s">
        <v>260</v>
      </c>
      <c r="C348" s="29" t="s">
        <v>283</v>
      </c>
      <c r="D348" s="29" t="s">
        <v>242</v>
      </c>
      <c r="E348" s="29" t="s">
        <v>8</v>
      </c>
      <c r="F348" s="29" t="s">
        <v>259</v>
      </c>
      <c r="G348" s="29" t="s">
        <v>182</v>
      </c>
      <c r="H348" s="32">
        <v>6</v>
      </c>
      <c r="I348" s="32">
        <v>3470.44</v>
      </c>
      <c r="J348" s="32">
        <v>20822.64</v>
      </c>
      <c r="K348" s="29"/>
      <c r="M348" s="29"/>
      <c r="N348" s="29"/>
      <c r="P348" s="29"/>
      <c r="Q348" s="29"/>
      <c r="S348" s="29"/>
      <c r="T348" s="29"/>
      <c r="V348" s="29"/>
      <c r="X348" s="29"/>
      <c r="Y348" s="29"/>
      <c r="Z348" s="29"/>
    </row>
    <row r="349" spans="1:26" ht="15" thickBot="1">
      <c r="A349" s="32" t="s">
        <v>420</v>
      </c>
      <c r="B349" s="29" t="s">
        <v>257</v>
      </c>
      <c r="C349" s="29" t="s">
        <v>231</v>
      </c>
      <c r="D349" s="29" t="s">
        <v>232</v>
      </c>
      <c r="E349" s="29" t="s">
        <v>6</v>
      </c>
      <c r="F349" s="29" t="s">
        <v>245</v>
      </c>
      <c r="G349" s="29" t="s">
        <v>266</v>
      </c>
      <c r="H349" s="32">
        <v>5</v>
      </c>
      <c r="I349" s="32">
        <v>4175.13</v>
      </c>
      <c r="J349" s="32">
        <v>20875.650000000001</v>
      </c>
      <c r="K349" s="29"/>
      <c r="M349" s="29"/>
      <c r="N349" s="29"/>
      <c r="P349" s="29"/>
      <c r="Q349" s="29"/>
      <c r="S349" s="29"/>
      <c r="T349" s="29"/>
      <c r="V349" s="29"/>
      <c r="X349" s="29"/>
      <c r="Y349" s="29"/>
      <c r="Z349" s="29"/>
    </row>
    <row r="350" spans="1:26" ht="15" thickBot="1">
      <c r="A350" s="49">
        <v>45056</v>
      </c>
      <c r="B350" s="29" t="s">
        <v>268</v>
      </c>
      <c r="C350" s="29" t="s">
        <v>241</v>
      </c>
      <c r="D350" s="29" t="s">
        <v>242</v>
      </c>
      <c r="E350" s="29" t="s">
        <v>8</v>
      </c>
      <c r="F350" s="29" t="s">
        <v>250</v>
      </c>
      <c r="G350" s="29" t="s">
        <v>277</v>
      </c>
      <c r="H350" s="32">
        <v>16</v>
      </c>
      <c r="I350" s="32">
        <v>1880.67</v>
      </c>
      <c r="J350" s="32">
        <v>30090.720000000001</v>
      </c>
      <c r="K350" s="29"/>
      <c r="M350" s="29"/>
      <c r="N350" s="29"/>
      <c r="P350" s="29"/>
      <c r="Q350" s="29"/>
      <c r="S350" s="29"/>
      <c r="T350" s="29"/>
      <c r="V350" s="29"/>
      <c r="X350" s="29"/>
      <c r="Y350" s="29"/>
      <c r="Z350" s="29"/>
    </row>
    <row r="351" spans="1:26" ht="15" thickBot="1">
      <c r="A351" s="49">
        <v>45238</v>
      </c>
      <c r="B351" s="29" t="s">
        <v>260</v>
      </c>
      <c r="C351" s="29" t="s">
        <v>313</v>
      </c>
      <c r="D351" s="29" t="s">
        <v>252</v>
      </c>
      <c r="E351" s="29" t="s">
        <v>5</v>
      </c>
      <c r="F351" s="29" t="s">
        <v>259</v>
      </c>
      <c r="G351" s="29" t="s">
        <v>298</v>
      </c>
      <c r="H351" s="32">
        <v>7</v>
      </c>
      <c r="I351" s="32">
        <v>2187.71</v>
      </c>
      <c r="J351" s="32">
        <v>15313.97</v>
      </c>
      <c r="K351" s="29"/>
      <c r="M351" s="29"/>
      <c r="N351" s="29"/>
      <c r="P351" s="29"/>
      <c r="Q351" s="29"/>
      <c r="S351" s="29"/>
      <c r="T351" s="29"/>
      <c r="V351" s="29"/>
      <c r="X351" s="29"/>
      <c r="Y351" s="29"/>
      <c r="Z351" s="29"/>
    </row>
    <row r="352" spans="1:26" ht="15" thickBot="1">
      <c r="A352" s="32" t="s">
        <v>309</v>
      </c>
      <c r="B352" s="29" t="s">
        <v>240</v>
      </c>
      <c r="C352" s="29" t="s">
        <v>283</v>
      </c>
      <c r="D352" s="29" t="s">
        <v>242</v>
      </c>
      <c r="E352" s="29" t="s">
        <v>8</v>
      </c>
      <c r="F352" s="29" t="s">
        <v>245</v>
      </c>
      <c r="G352" s="29" t="s">
        <v>269</v>
      </c>
      <c r="H352" s="32">
        <v>14</v>
      </c>
      <c r="I352" s="32">
        <v>1024.22</v>
      </c>
      <c r="J352" s="32">
        <v>14339.08</v>
      </c>
      <c r="K352" s="29"/>
      <c r="M352" s="29"/>
      <c r="N352" s="29"/>
      <c r="P352" s="29"/>
      <c r="Q352" s="29"/>
      <c r="S352" s="29"/>
      <c r="T352" s="29"/>
      <c r="V352" s="29"/>
      <c r="X352" s="29"/>
      <c r="Y352" s="29"/>
      <c r="Z352" s="29"/>
    </row>
    <row r="353" spans="1:26" ht="15" thickBot="1">
      <c r="A353" s="32" t="s">
        <v>294</v>
      </c>
      <c r="B353" s="29" t="s">
        <v>271</v>
      </c>
      <c r="C353" s="29" t="s">
        <v>244</v>
      </c>
      <c r="D353" s="29" t="s">
        <v>237</v>
      </c>
      <c r="E353" s="29" t="s">
        <v>8</v>
      </c>
      <c r="F353" s="29" t="s">
        <v>245</v>
      </c>
      <c r="G353" s="29" t="s">
        <v>266</v>
      </c>
      <c r="H353" s="32">
        <v>17</v>
      </c>
      <c r="I353" s="32">
        <v>544.41999999999996</v>
      </c>
      <c r="J353" s="32">
        <v>9255.14</v>
      </c>
      <c r="K353" s="29"/>
      <c r="M353" s="29"/>
      <c r="N353" s="29"/>
      <c r="P353" s="29"/>
      <c r="Q353" s="29"/>
      <c r="S353" s="29"/>
      <c r="T353" s="29"/>
      <c r="V353" s="29"/>
      <c r="X353" s="29"/>
      <c r="Y353" s="29"/>
      <c r="Z353" s="29"/>
    </row>
    <row r="354" spans="1:26" ht="15" thickBot="1">
      <c r="A354" s="32" t="s">
        <v>334</v>
      </c>
      <c r="B354" s="29" t="s">
        <v>254</v>
      </c>
      <c r="C354" s="29" t="s">
        <v>249</v>
      </c>
      <c r="D354" s="29" t="s">
        <v>232</v>
      </c>
      <c r="E354" s="29" t="s">
        <v>6</v>
      </c>
      <c r="F354" s="29" t="s">
        <v>238</v>
      </c>
      <c r="G354" s="29" t="s">
        <v>296</v>
      </c>
      <c r="H354" s="32">
        <v>4</v>
      </c>
      <c r="I354" s="32">
        <v>942.96</v>
      </c>
      <c r="J354" s="32">
        <v>3771.84</v>
      </c>
      <c r="K354" s="29"/>
      <c r="M354" s="29"/>
      <c r="N354" s="29"/>
      <c r="P354" s="29"/>
      <c r="Q354" s="29"/>
      <c r="S354" s="29"/>
      <c r="T354" s="29"/>
      <c r="V354" s="29"/>
      <c r="X354" s="29"/>
      <c r="Y354" s="29"/>
      <c r="Z354" s="29"/>
    </row>
    <row r="355" spans="1:26" ht="15" thickBot="1">
      <c r="A355" s="49">
        <v>45211</v>
      </c>
      <c r="B355" s="29" t="s">
        <v>271</v>
      </c>
      <c r="C355" s="29" t="s">
        <v>255</v>
      </c>
      <c r="D355" s="29" t="s">
        <v>237</v>
      </c>
      <c r="E355" s="29" t="s">
        <v>8</v>
      </c>
      <c r="F355" s="29" t="s">
        <v>233</v>
      </c>
      <c r="G355" s="29" t="s">
        <v>304</v>
      </c>
      <c r="H355" s="32">
        <v>12</v>
      </c>
      <c r="I355" s="32">
        <v>1799.38</v>
      </c>
      <c r="J355" s="32">
        <v>21592.560000000001</v>
      </c>
      <c r="K355" s="29"/>
      <c r="M355" s="29"/>
      <c r="N355" s="29"/>
      <c r="P355" s="29"/>
      <c r="Q355" s="29"/>
      <c r="S355" s="29"/>
      <c r="T355" s="29"/>
      <c r="V355" s="29"/>
      <c r="X355" s="29"/>
      <c r="Y355" s="29"/>
      <c r="Z355" s="29"/>
    </row>
    <row r="356" spans="1:26" ht="15" thickBot="1">
      <c r="A356" s="32" t="s">
        <v>264</v>
      </c>
      <c r="B356" s="29" t="s">
        <v>248</v>
      </c>
      <c r="C356" s="29" t="s">
        <v>255</v>
      </c>
      <c r="D356" s="29" t="s">
        <v>237</v>
      </c>
      <c r="E356" s="29" t="s">
        <v>8</v>
      </c>
      <c r="F356" s="29" t="s">
        <v>245</v>
      </c>
      <c r="G356" s="29" t="s">
        <v>269</v>
      </c>
      <c r="H356" s="32">
        <v>11</v>
      </c>
      <c r="I356" s="32">
        <v>1634.39</v>
      </c>
      <c r="J356" s="32">
        <v>17978.29</v>
      </c>
      <c r="K356" s="29"/>
      <c r="M356" s="29"/>
      <c r="N356" s="29"/>
      <c r="P356" s="29"/>
      <c r="Q356" s="29"/>
      <c r="S356" s="29"/>
      <c r="T356" s="29"/>
      <c r="V356" s="29"/>
      <c r="X356" s="29"/>
      <c r="Y356" s="29"/>
      <c r="Z356" s="29"/>
    </row>
    <row r="357" spans="1:26" ht="15" thickBot="1">
      <c r="A357" s="49">
        <v>45148</v>
      </c>
      <c r="B357" s="29" t="s">
        <v>280</v>
      </c>
      <c r="C357" s="29" t="s">
        <v>249</v>
      </c>
      <c r="D357" s="29" t="s">
        <v>232</v>
      </c>
      <c r="E357" s="29" t="s">
        <v>6</v>
      </c>
      <c r="F357" s="29" t="s">
        <v>233</v>
      </c>
      <c r="G357" s="29" t="s">
        <v>301</v>
      </c>
      <c r="H357" s="32">
        <v>3</v>
      </c>
      <c r="I357" s="32">
        <v>2950.28</v>
      </c>
      <c r="J357" s="32">
        <v>8850.84</v>
      </c>
      <c r="K357" s="29"/>
      <c r="M357" s="29"/>
      <c r="N357" s="29"/>
      <c r="P357" s="29"/>
      <c r="Q357" s="29"/>
      <c r="S357" s="29"/>
      <c r="T357" s="29"/>
      <c r="V357" s="29"/>
      <c r="X357" s="29"/>
      <c r="Y357" s="29"/>
      <c r="Z357" s="29"/>
    </row>
    <row r="358" spans="1:26" ht="15" thickBot="1">
      <c r="A358" s="32" t="s">
        <v>421</v>
      </c>
      <c r="B358" s="29" t="s">
        <v>248</v>
      </c>
      <c r="C358" s="29" t="s">
        <v>274</v>
      </c>
      <c r="D358" s="29" t="s">
        <v>232</v>
      </c>
      <c r="E358" s="29" t="s">
        <v>6</v>
      </c>
      <c r="F358" s="29" t="s">
        <v>250</v>
      </c>
      <c r="G358" s="29" t="s">
        <v>293</v>
      </c>
      <c r="H358" s="32">
        <v>10</v>
      </c>
      <c r="I358" s="32">
        <v>4788</v>
      </c>
      <c r="J358" s="32">
        <v>47880</v>
      </c>
      <c r="K358" s="29"/>
      <c r="M358" s="29"/>
      <c r="N358" s="29"/>
      <c r="P358" s="29"/>
      <c r="Q358" s="29"/>
      <c r="S358" s="29"/>
      <c r="T358" s="29"/>
      <c r="V358" s="29"/>
      <c r="X358" s="29"/>
      <c r="Y358" s="29"/>
      <c r="Z358" s="29"/>
    </row>
    <row r="359" spans="1:26" ht="15" thickBot="1">
      <c r="A359" s="32" t="s">
        <v>334</v>
      </c>
      <c r="B359" s="29" t="s">
        <v>235</v>
      </c>
      <c r="C359" s="29" t="s">
        <v>236</v>
      </c>
      <c r="D359" s="29" t="s">
        <v>237</v>
      </c>
      <c r="E359" s="29" t="s">
        <v>8</v>
      </c>
      <c r="F359" s="29" t="s">
        <v>233</v>
      </c>
      <c r="G359" s="29" t="s">
        <v>287</v>
      </c>
      <c r="H359" s="32">
        <v>8</v>
      </c>
      <c r="I359" s="32">
        <v>1807.67</v>
      </c>
      <c r="J359" s="32">
        <v>14461.36</v>
      </c>
      <c r="K359" s="29"/>
      <c r="M359" s="29"/>
      <c r="N359" s="29"/>
      <c r="P359" s="29"/>
      <c r="Q359" s="29"/>
      <c r="S359" s="29"/>
      <c r="T359" s="29"/>
      <c r="V359" s="29"/>
      <c r="X359" s="29"/>
      <c r="Y359" s="29"/>
      <c r="Z359" s="29"/>
    </row>
    <row r="360" spans="1:26" ht="15" thickBot="1">
      <c r="A360" s="49">
        <v>44967</v>
      </c>
      <c r="B360" s="29" t="s">
        <v>257</v>
      </c>
      <c r="C360" s="29" t="s">
        <v>241</v>
      </c>
      <c r="D360" s="29" t="s">
        <v>242</v>
      </c>
      <c r="E360" s="29" t="s">
        <v>8</v>
      </c>
      <c r="F360" s="29" t="s">
        <v>250</v>
      </c>
      <c r="G360" s="29" t="s">
        <v>293</v>
      </c>
      <c r="H360" s="32">
        <v>19</v>
      </c>
      <c r="I360" s="32">
        <v>797.02</v>
      </c>
      <c r="J360" s="32">
        <v>15143.38</v>
      </c>
      <c r="K360" s="29"/>
      <c r="M360" s="29"/>
      <c r="N360" s="29"/>
      <c r="P360" s="29"/>
      <c r="Q360" s="29"/>
      <c r="S360" s="29"/>
      <c r="T360" s="29"/>
      <c r="V360" s="29"/>
      <c r="X360" s="29"/>
      <c r="Y360" s="29"/>
      <c r="Z360" s="29"/>
    </row>
    <row r="361" spans="1:26" ht="15" thickBot="1">
      <c r="A361" s="32" t="s">
        <v>360</v>
      </c>
      <c r="B361" s="29" t="s">
        <v>235</v>
      </c>
      <c r="C361" s="29" t="s">
        <v>236</v>
      </c>
      <c r="D361" s="29" t="s">
        <v>237</v>
      </c>
      <c r="E361" s="29" t="s">
        <v>8</v>
      </c>
      <c r="F361" s="29" t="s">
        <v>259</v>
      </c>
      <c r="G361" s="29" t="s">
        <v>298</v>
      </c>
      <c r="H361" s="32">
        <v>2</v>
      </c>
      <c r="I361" s="32">
        <v>1195.99</v>
      </c>
      <c r="J361" s="32">
        <v>2391.98</v>
      </c>
      <c r="K361" s="29"/>
      <c r="M361" s="29"/>
      <c r="N361" s="29"/>
      <c r="P361" s="29"/>
      <c r="Q361" s="29"/>
      <c r="S361" s="29"/>
      <c r="T361" s="29"/>
      <c r="V361" s="29"/>
      <c r="X361" s="29"/>
      <c r="Y361" s="29"/>
      <c r="Z361" s="29"/>
    </row>
    <row r="362" spans="1:26" ht="15" thickBot="1">
      <c r="A362" s="49">
        <v>45082</v>
      </c>
      <c r="B362" s="29" t="s">
        <v>268</v>
      </c>
      <c r="C362" s="29" t="s">
        <v>276</v>
      </c>
      <c r="D362" s="29" t="s">
        <v>247</v>
      </c>
      <c r="E362" s="29" t="s">
        <v>6</v>
      </c>
      <c r="F362" s="29" t="s">
        <v>245</v>
      </c>
      <c r="G362" s="29" t="s">
        <v>295</v>
      </c>
      <c r="H362" s="32">
        <v>20</v>
      </c>
      <c r="I362" s="32">
        <v>2056.65</v>
      </c>
      <c r="J362" s="32">
        <v>41133</v>
      </c>
      <c r="K362" s="29"/>
      <c r="M362" s="29"/>
      <c r="N362" s="29"/>
      <c r="P362" s="29"/>
      <c r="Q362" s="29"/>
      <c r="S362" s="29"/>
      <c r="T362" s="29"/>
      <c r="V362" s="29"/>
      <c r="X362" s="29"/>
      <c r="Y362" s="29"/>
      <c r="Z362" s="29"/>
    </row>
    <row r="363" spans="1:26" ht="15" thickBot="1">
      <c r="A363" s="49">
        <v>45019</v>
      </c>
      <c r="B363" s="29" t="s">
        <v>268</v>
      </c>
      <c r="C363" s="29" t="s">
        <v>255</v>
      </c>
      <c r="D363" s="29" t="s">
        <v>237</v>
      </c>
      <c r="E363" s="29" t="s">
        <v>8</v>
      </c>
      <c r="F363" s="29" t="s">
        <v>233</v>
      </c>
      <c r="G363" s="29" t="s">
        <v>304</v>
      </c>
      <c r="H363" s="32">
        <v>16</v>
      </c>
      <c r="I363" s="32">
        <v>4817.63</v>
      </c>
      <c r="J363" s="32">
        <v>77082.080000000002</v>
      </c>
      <c r="K363" s="29"/>
      <c r="M363" s="29"/>
      <c r="N363" s="29"/>
      <c r="P363" s="29"/>
      <c r="Q363" s="29"/>
      <c r="S363" s="29"/>
      <c r="T363" s="29"/>
      <c r="V363" s="29"/>
      <c r="X363" s="29"/>
      <c r="Y363" s="29"/>
      <c r="Z363" s="29"/>
    </row>
    <row r="364" spans="1:26" ht="15" thickBot="1">
      <c r="A364" s="32" t="s">
        <v>336</v>
      </c>
      <c r="B364" s="29" t="s">
        <v>235</v>
      </c>
      <c r="C364" s="29" t="s">
        <v>258</v>
      </c>
      <c r="D364" s="29" t="s">
        <v>242</v>
      </c>
      <c r="E364" s="29" t="s">
        <v>8</v>
      </c>
      <c r="F364" s="29" t="s">
        <v>245</v>
      </c>
      <c r="G364" s="29" t="s">
        <v>269</v>
      </c>
      <c r="H364" s="32">
        <v>7</v>
      </c>
      <c r="I364" s="32">
        <v>4950.24</v>
      </c>
      <c r="J364" s="32">
        <v>34651.68</v>
      </c>
      <c r="K364" s="29"/>
      <c r="M364" s="29"/>
      <c r="N364" s="29"/>
      <c r="P364" s="29"/>
      <c r="Q364" s="29"/>
      <c r="S364" s="29"/>
      <c r="T364" s="29"/>
      <c r="V364" s="29"/>
      <c r="X364" s="29"/>
      <c r="Y364" s="29"/>
      <c r="Z364" s="29"/>
    </row>
    <row r="365" spans="1:26" ht="15" thickBot="1">
      <c r="A365" s="32" t="s">
        <v>326</v>
      </c>
      <c r="B365" s="29" t="s">
        <v>268</v>
      </c>
      <c r="C365" s="29" t="s">
        <v>249</v>
      </c>
      <c r="D365" s="29" t="s">
        <v>232</v>
      </c>
      <c r="E365" s="29" t="s">
        <v>6</v>
      </c>
      <c r="F365" s="29" t="s">
        <v>245</v>
      </c>
      <c r="G365" s="29" t="s">
        <v>269</v>
      </c>
      <c r="H365" s="32">
        <v>9</v>
      </c>
      <c r="I365" s="32">
        <v>2935.97</v>
      </c>
      <c r="J365" s="32">
        <v>26423.73</v>
      </c>
      <c r="K365" s="29"/>
      <c r="M365" s="29"/>
      <c r="N365" s="29"/>
      <c r="P365" s="29"/>
      <c r="Q365" s="29"/>
      <c r="S365" s="29"/>
      <c r="T365" s="29"/>
      <c r="V365" s="29"/>
      <c r="X365" s="29"/>
      <c r="Y365" s="29"/>
      <c r="Z365" s="29"/>
    </row>
    <row r="366" spans="1:26" ht="15" thickBot="1">
      <c r="A366" s="49">
        <v>45181</v>
      </c>
      <c r="B366" s="29" t="s">
        <v>280</v>
      </c>
      <c r="C366" s="29" t="s">
        <v>316</v>
      </c>
      <c r="D366" s="29" t="s">
        <v>247</v>
      </c>
      <c r="E366" s="29" t="s">
        <v>6</v>
      </c>
      <c r="F366" s="29" t="s">
        <v>250</v>
      </c>
      <c r="G366" s="29" t="s">
        <v>251</v>
      </c>
      <c r="H366" s="32">
        <v>9</v>
      </c>
      <c r="I366" s="32">
        <v>3560.8</v>
      </c>
      <c r="J366" s="32">
        <v>32047.200000000001</v>
      </c>
      <c r="K366" s="29"/>
      <c r="M366" s="29"/>
      <c r="N366" s="29"/>
      <c r="P366" s="29"/>
      <c r="Q366" s="29"/>
      <c r="S366" s="29"/>
      <c r="T366" s="29"/>
      <c r="V366" s="29"/>
      <c r="X366" s="29"/>
      <c r="Y366" s="29"/>
      <c r="Z366" s="29"/>
    </row>
    <row r="367" spans="1:26" ht="15" thickBot="1">
      <c r="A367" s="49">
        <v>45141</v>
      </c>
      <c r="B367" s="29" t="s">
        <v>280</v>
      </c>
      <c r="C367" s="29" t="s">
        <v>276</v>
      </c>
      <c r="D367" s="29" t="s">
        <v>247</v>
      </c>
      <c r="E367" s="29" t="s">
        <v>6</v>
      </c>
      <c r="F367" s="29" t="s">
        <v>238</v>
      </c>
      <c r="G367" s="29" t="s">
        <v>303</v>
      </c>
      <c r="H367" s="32">
        <v>11</v>
      </c>
      <c r="I367" s="32">
        <v>4890.92</v>
      </c>
      <c r="J367" s="32">
        <v>53800.12</v>
      </c>
      <c r="K367" s="29"/>
      <c r="M367" s="29"/>
      <c r="N367" s="29"/>
      <c r="P367" s="29"/>
      <c r="Q367" s="29"/>
      <c r="S367" s="29"/>
      <c r="T367" s="29"/>
      <c r="V367" s="29"/>
      <c r="X367" s="29"/>
      <c r="Y367" s="29"/>
      <c r="Z367" s="29"/>
    </row>
    <row r="368" spans="1:26" ht="15" thickBot="1">
      <c r="A368" s="32" t="s">
        <v>388</v>
      </c>
      <c r="B368" s="29" t="s">
        <v>254</v>
      </c>
      <c r="C368" s="29" t="s">
        <v>258</v>
      </c>
      <c r="D368" s="29" t="s">
        <v>242</v>
      </c>
      <c r="E368" s="29" t="s">
        <v>8</v>
      </c>
      <c r="F368" s="29" t="s">
        <v>245</v>
      </c>
      <c r="G368" s="29" t="s">
        <v>246</v>
      </c>
      <c r="H368" s="32">
        <v>8</v>
      </c>
      <c r="I368" s="32">
        <v>4143.5600000000004</v>
      </c>
      <c r="J368" s="32">
        <v>33148.480000000003</v>
      </c>
      <c r="K368" s="29"/>
      <c r="M368" s="29"/>
      <c r="N368" s="29"/>
      <c r="P368" s="29"/>
      <c r="Q368" s="29"/>
      <c r="S368" s="29"/>
      <c r="T368" s="29"/>
      <c r="V368" s="29"/>
      <c r="X368" s="29"/>
      <c r="Y368" s="29"/>
      <c r="Z368" s="29"/>
    </row>
    <row r="369" spans="1:26" ht="15" thickBot="1">
      <c r="A369" s="32" t="s">
        <v>422</v>
      </c>
      <c r="B369" s="29" t="s">
        <v>271</v>
      </c>
      <c r="C369" s="29" t="s">
        <v>255</v>
      </c>
      <c r="D369" s="29" t="s">
        <v>237</v>
      </c>
      <c r="E369" s="29" t="s">
        <v>8</v>
      </c>
      <c r="F369" s="29" t="s">
        <v>250</v>
      </c>
      <c r="G369" s="29" t="s">
        <v>293</v>
      </c>
      <c r="H369" s="32">
        <v>4</v>
      </c>
      <c r="I369" s="32">
        <v>2395.66</v>
      </c>
      <c r="J369" s="32">
        <v>9582.64</v>
      </c>
      <c r="K369" s="29"/>
      <c r="M369" s="29"/>
      <c r="N369" s="29"/>
      <c r="P369" s="29"/>
      <c r="Q369" s="29"/>
      <c r="S369" s="29"/>
      <c r="T369" s="29"/>
      <c r="V369" s="29"/>
      <c r="X369" s="29"/>
      <c r="Y369" s="29"/>
      <c r="Z369" s="29"/>
    </row>
    <row r="370" spans="1:26" ht="15" thickBot="1">
      <c r="A370" s="49">
        <v>45177</v>
      </c>
      <c r="B370" s="29" t="s">
        <v>254</v>
      </c>
      <c r="C370" s="29" t="s">
        <v>316</v>
      </c>
      <c r="D370" s="29" t="s">
        <v>247</v>
      </c>
      <c r="E370" s="29" t="s">
        <v>6</v>
      </c>
      <c r="F370" s="29" t="s">
        <v>245</v>
      </c>
      <c r="G370" s="29" t="s">
        <v>266</v>
      </c>
      <c r="H370" s="32">
        <v>18</v>
      </c>
      <c r="I370" s="32">
        <v>1582.02</v>
      </c>
      <c r="J370" s="32">
        <v>28476.36</v>
      </c>
      <c r="K370" s="29"/>
      <c r="M370" s="29"/>
      <c r="N370" s="29"/>
      <c r="P370" s="29"/>
      <c r="Q370" s="29"/>
      <c r="S370" s="29"/>
      <c r="T370" s="29"/>
      <c r="V370" s="29"/>
      <c r="X370" s="29"/>
      <c r="Y370" s="29"/>
      <c r="Z370" s="29"/>
    </row>
    <row r="371" spans="1:26" ht="15" thickBot="1">
      <c r="A371" s="32" t="s">
        <v>423</v>
      </c>
      <c r="B371" s="29" t="s">
        <v>230</v>
      </c>
      <c r="C371" s="29" t="s">
        <v>276</v>
      </c>
      <c r="D371" s="29" t="s">
        <v>247</v>
      </c>
      <c r="E371" s="29" t="s">
        <v>6</v>
      </c>
      <c r="F371" s="29" t="s">
        <v>245</v>
      </c>
      <c r="G371" s="29" t="s">
        <v>269</v>
      </c>
      <c r="H371" s="32">
        <v>14</v>
      </c>
      <c r="I371" s="32">
        <v>3381.77</v>
      </c>
      <c r="J371" s="32">
        <v>47344.78</v>
      </c>
      <c r="K371" s="29"/>
      <c r="M371" s="29"/>
      <c r="N371" s="29"/>
      <c r="P371" s="29"/>
      <c r="Q371" s="29"/>
      <c r="S371" s="29"/>
      <c r="T371" s="29"/>
      <c r="V371" s="29"/>
      <c r="X371" s="29"/>
      <c r="Y371" s="29"/>
      <c r="Z371" s="29"/>
    </row>
    <row r="372" spans="1:26" ht="15" thickBot="1">
      <c r="A372" s="32" t="s">
        <v>315</v>
      </c>
      <c r="B372" s="29" t="s">
        <v>280</v>
      </c>
      <c r="C372" s="29" t="s">
        <v>241</v>
      </c>
      <c r="D372" s="29" t="s">
        <v>242</v>
      </c>
      <c r="E372" s="29" t="s">
        <v>8</v>
      </c>
      <c r="F372" s="29" t="s">
        <v>238</v>
      </c>
      <c r="G372" s="29" t="s">
        <v>256</v>
      </c>
      <c r="H372" s="32">
        <v>16</v>
      </c>
      <c r="I372" s="32">
        <v>2580.42</v>
      </c>
      <c r="J372" s="32">
        <v>41286.720000000001</v>
      </c>
      <c r="K372" s="29"/>
      <c r="M372" s="29"/>
      <c r="N372" s="29"/>
      <c r="P372" s="29"/>
      <c r="Q372" s="29"/>
      <c r="S372" s="29"/>
      <c r="T372" s="29"/>
      <c r="V372" s="29"/>
      <c r="X372" s="29"/>
      <c r="Y372" s="29"/>
      <c r="Z372" s="29"/>
    </row>
    <row r="373" spans="1:26" ht="15" thickBot="1">
      <c r="A373" s="32" t="s">
        <v>420</v>
      </c>
      <c r="B373" s="29" t="s">
        <v>260</v>
      </c>
      <c r="C373" s="29" t="s">
        <v>316</v>
      </c>
      <c r="D373" s="29" t="s">
        <v>247</v>
      </c>
      <c r="E373" s="29" t="s">
        <v>6</v>
      </c>
      <c r="F373" s="29" t="s">
        <v>245</v>
      </c>
      <c r="G373" s="29" t="s">
        <v>269</v>
      </c>
      <c r="H373" s="32">
        <v>3</v>
      </c>
      <c r="I373" s="32">
        <v>3838.25</v>
      </c>
      <c r="J373" s="32">
        <v>11514.75</v>
      </c>
      <c r="K373" s="29"/>
      <c r="M373" s="29"/>
      <c r="N373" s="29"/>
      <c r="P373" s="29"/>
      <c r="Q373" s="29"/>
      <c r="S373" s="29"/>
      <c r="T373" s="29"/>
      <c r="V373" s="29"/>
      <c r="X373" s="29"/>
      <c r="Y373" s="29"/>
      <c r="Z373" s="29"/>
    </row>
    <row r="374" spans="1:26" ht="15" thickBot="1">
      <c r="A374" s="32" t="s">
        <v>343</v>
      </c>
      <c r="B374" s="29" t="s">
        <v>260</v>
      </c>
      <c r="C374" s="29" t="s">
        <v>255</v>
      </c>
      <c r="D374" s="29" t="s">
        <v>237</v>
      </c>
      <c r="E374" s="29" t="s">
        <v>8</v>
      </c>
      <c r="F374" s="29" t="s">
        <v>250</v>
      </c>
      <c r="G374" s="29" t="s">
        <v>277</v>
      </c>
      <c r="H374" s="32">
        <v>2</v>
      </c>
      <c r="I374" s="32">
        <v>591.6</v>
      </c>
      <c r="J374" s="32">
        <v>1183.2</v>
      </c>
      <c r="K374" s="29"/>
      <c r="M374" s="29"/>
      <c r="N374" s="29"/>
      <c r="P374" s="29"/>
      <c r="Q374" s="29"/>
      <c r="S374" s="29"/>
      <c r="T374" s="29"/>
      <c r="V374" s="29"/>
      <c r="X374" s="29"/>
      <c r="Y374" s="29"/>
      <c r="Z374" s="29"/>
    </row>
    <row r="375" spans="1:26" ht="15" thickBot="1">
      <c r="A375" s="32" t="s">
        <v>424</v>
      </c>
      <c r="B375" s="29" t="s">
        <v>240</v>
      </c>
      <c r="C375" s="29" t="s">
        <v>313</v>
      </c>
      <c r="D375" s="29" t="s">
        <v>252</v>
      </c>
      <c r="E375" s="29" t="s">
        <v>5</v>
      </c>
      <c r="F375" s="29" t="s">
        <v>245</v>
      </c>
      <c r="G375" s="29" t="s">
        <v>269</v>
      </c>
      <c r="H375" s="32">
        <v>1</v>
      </c>
      <c r="I375" s="32">
        <v>2709.05</v>
      </c>
      <c r="J375" s="32">
        <v>2709.05</v>
      </c>
      <c r="K375" s="29"/>
      <c r="M375" s="29"/>
      <c r="N375" s="29"/>
      <c r="P375" s="29"/>
      <c r="Q375" s="29"/>
      <c r="S375" s="29"/>
      <c r="T375" s="29"/>
      <c r="V375" s="29"/>
      <c r="X375" s="29"/>
      <c r="Y375" s="29"/>
      <c r="Z375" s="29"/>
    </row>
    <row r="376" spans="1:26" ht="15" thickBot="1">
      <c r="A376" s="49">
        <v>45177</v>
      </c>
      <c r="B376" s="29" t="s">
        <v>248</v>
      </c>
      <c r="C376" s="29" t="s">
        <v>241</v>
      </c>
      <c r="D376" s="29" t="s">
        <v>242</v>
      </c>
      <c r="E376" s="29" t="s">
        <v>8</v>
      </c>
      <c r="F376" s="29" t="s">
        <v>259</v>
      </c>
      <c r="G376" s="29" t="s">
        <v>298</v>
      </c>
      <c r="H376" s="32">
        <v>5</v>
      </c>
      <c r="I376" s="32">
        <v>194.7</v>
      </c>
      <c r="J376" s="32">
        <v>973.5</v>
      </c>
      <c r="K376" s="29"/>
      <c r="M376" s="29"/>
      <c r="N376" s="29"/>
      <c r="P376" s="29"/>
      <c r="Q376" s="29"/>
      <c r="S376" s="29"/>
      <c r="T376" s="29"/>
      <c r="V376" s="29"/>
      <c r="X376" s="29"/>
      <c r="Y376" s="29"/>
      <c r="Z376" s="29"/>
    </row>
    <row r="377" spans="1:26" ht="15" thickBot="1">
      <c r="A377" s="32" t="s">
        <v>402</v>
      </c>
      <c r="B377" s="29" t="s">
        <v>240</v>
      </c>
      <c r="C377" s="29" t="s">
        <v>276</v>
      </c>
      <c r="D377" s="29" t="s">
        <v>247</v>
      </c>
      <c r="E377" s="29" t="s">
        <v>6</v>
      </c>
      <c r="F377" s="29" t="s">
        <v>238</v>
      </c>
      <c r="G377" s="29" t="s">
        <v>256</v>
      </c>
      <c r="H377" s="32">
        <v>4</v>
      </c>
      <c r="I377" s="32">
        <v>900.33</v>
      </c>
      <c r="J377" s="32">
        <v>3601.32</v>
      </c>
      <c r="K377" s="29"/>
      <c r="M377" s="29"/>
      <c r="N377" s="29"/>
      <c r="P377" s="29"/>
      <c r="Q377" s="29"/>
      <c r="S377" s="29"/>
      <c r="T377" s="29"/>
      <c r="V377" s="29"/>
      <c r="X377" s="29"/>
      <c r="Y377" s="29"/>
      <c r="Z377" s="29"/>
    </row>
    <row r="378" spans="1:26" ht="15" thickBot="1">
      <c r="A378" s="32" t="s">
        <v>425</v>
      </c>
      <c r="B378" s="29" t="s">
        <v>254</v>
      </c>
      <c r="C378" s="29" t="s">
        <v>244</v>
      </c>
      <c r="D378" s="29" t="s">
        <v>237</v>
      </c>
      <c r="E378" s="29" t="s">
        <v>8</v>
      </c>
      <c r="F378" s="29" t="s">
        <v>250</v>
      </c>
      <c r="G378" s="29" t="s">
        <v>251</v>
      </c>
      <c r="H378" s="32">
        <v>13</v>
      </c>
      <c r="I378" s="32">
        <v>3574.45</v>
      </c>
      <c r="J378" s="32">
        <v>46467.85</v>
      </c>
      <c r="K378" s="29"/>
      <c r="M378" s="29"/>
      <c r="N378" s="29"/>
      <c r="P378" s="29"/>
      <c r="Q378" s="29"/>
      <c r="S378" s="29"/>
      <c r="T378" s="29"/>
      <c r="V378" s="29"/>
      <c r="X378" s="29"/>
      <c r="Y378" s="29"/>
      <c r="Z378" s="29"/>
    </row>
    <row r="379" spans="1:26" ht="15" thickBot="1">
      <c r="A379" s="32" t="s">
        <v>332</v>
      </c>
      <c r="B379" s="29" t="s">
        <v>235</v>
      </c>
      <c r="C379" s="29" t="s">
        <v>273</v>
      </c>
      <c r="D379" s="29" t="s">
        <v>252</v>
      </c>
      <c r="E379" s="29" t="s">
        <v>5</v>
      </c>
      <c r="F379" s="29" t="s">
        <v>259</v>
      </c>
      <c r="G379" s="29" t="s">
        <v>179</v>
      </c>
      <c r="H379" s="32">
        <v>20</v>
      </c>
      <c r="I379" s="32">
        <v>1637.44</v>
      </c>
      <c r="J379" s="32">
        <v>32748.799999999999</v>
      </c>
      <c r="K379" s="29"/>
      <c r="M379" s="29"/>
      <c r="N379" s="29"/>
      <c r="P379" s="29"/>
      <c r="Q379" s="29"/>
      <c r="S379" s="29"/>
      <c r="T379" s="29"/>
      <c r="V379" s="29"/>
      <c r="X379" s="29"/>
      <c r="Y379" s="29"/>
      <c r="Z379" s="29"/>
    </row>
    <row r="380" spans="1:26" ht="15" thickBot="1">
      <c r="A380" s="32" t="s">
        <v>351</v>
      </c>
      <c r="B380" s="29" t="s">
        <v>240</v>
      </c>
      <c r="C380" s="29" t="s">
        <v>283</v>
      </c>
      <c r="D380" s="29" t="s">
        <v>242</v>
      </c>
      <c r="E380" s="29" t="s">
        <v>8</v>
      </c>
      <c r="F380" s="29" t="s">
        <v>233</v>
      </c>
      <c r="G380" s="29" t="s">
        <v>301</v>
      </c>
      <c r="H380" s="32">
        <v>14</v>
      </c>
      <c r="I380" s="32">
        <v>3177.8</v>
      </c>
      <c r="J380" s="32">
        <v>44489.2</v>
      </c>
      <c r="K380" s="29"/>
      <c r="M380" s="29"/>
      <c r="N380" s="29"/>
      <c r="P380" s="29"/>
      <c r="Q380" s="29"/>
      <c r="S380" s="29"/>
      <c r="T380" s="29"/>
      <c r="V380" s="29"/>
      <c r="X380" s="29"/>
      <c r="Y380" s="29"/>
      <c r="Z380" s="29"/>
    </row>
    <row r="381" spans="1:26" ht="15" thickBot="1">
      <c r="A381" s="32" t="s">
        <v>403</v>
      </c>
      <c r="B381" s="29" t="s">
        <v>257</v>
      </c>
      <c r="C381" s="29" t="s">
        <v>258</v>
      </c>
      <c r="D381" s="29" t="s">
        <v>242</v>
      </c>
      <c r="E381" s="29" t="s">
        <v>8</v>
      </c>
      <c r="F381" s="29" t="s">
        <v>259</v>
      </c>
      <c r="G381" s="29" t="s">
        <v>182</v>
      </c>
      <c r="H381" s="32">
        <v>1</v>
      </c>
      <c r="I381" s="32">
        <v>3382.37</v>
      </c>
      <c r="J381" s="32">
        <v>3382.37</v>
      </c>
      <c r="K381" s="29"/>
      <c r="M381" s="29"/>
      <c r="N381" s="29"/>
      <c r="P381" s="29"/>
      <c r="Q381" s="29"/>
      <c r="S381" s="29"/>
      <c r="T381" s="29"/>
      <c r="V381" s="29"/>
      <c r="X381" s="29"/>
      <c r="Y381" s="29"/>
      <c r="Z381" s="29"/>
    </row>
    <row r="382" spans="1:26" ht="15" thickBot="1">
      <c r="A382" s="32" t="s">
        <v>321</v>
      </c>
      <c r="B382" s="29" t="s">
        <v>230</v>
      </c>
      <c r="C382" s="29" t="s">
        <v>273</v>
      </c>
      <c r="D382" s="29" t="s">
        <v>252</v>
      </c>
      <c r="E382" s="29" t="s">
        <v>5</v>
      </c>
      <c r="F382" s="29" t="s">
        <v>238</v>
      </c>
      <c r="G382" s="29" t="s">
        <v>303</v>
      </c>
      <c r="H382" s="32">
        <v>19</v>
      </c>
      <c r="I382" s="32">
        <v>2816.52</v>
      </c>
      <c r="J382" s="32">
        <v>53513.88</v>
      </c>
      <c r="K382" s="29"/>
      <c r="M382" s="29"/>
      <c r="N382" s="29"/>
      <c r="P382" s="29"/>
      <c r="Q382" s="29"/>
      <c r="S382" s="29"/>
      <c r="T382" s="29"/>
      <c r="V382" s="29"/>
      <c r="X382" s="29"/>
      <c r="Y382" s="29"/>
      <c r="Z382" s="29"/>
    </row>
    <row r="383" spans="1:26" ht="15" thickBot="1">
      <c r="A383" s="32" t="s">
        <v>272</v>
      </c>
      <c r="B383" s="29" t="s">
        <v>230</v>
      </c>
      <c r="C383" s="29" t="s">
        <v>313</v>
      </c>
      <c r="D383" s="29" t="s">
        <v>252</v>
      </c>
      <c r="E383" s="29" t="s">
        <v>5</v>
      </c>
      <c r="F383" s="29" t="s">
        <v>250</v>
      </c>
      <c r="G383" s="29" t="s">
        <v>284</v>
      </c>
      <c r="H383" s="32">
        <v>13</v>
      </c>
      <c r="I383" s="32">
        <v>3417.94</v>
      </c>
      <c r="J383" s="32">
        <v>44433.22</v>
      </c>
      <c r="K383" s="29"/>
      <c r="M383" s="29"/>
      <c r="N383" s="29"/>
      <c r="P383" s="29"/>
      <c r="Q383" s="29"/>
      <c r="S383" s="29"/>
      <c r="T383" s="29"/>
      <c r="V383" s="29"/>
      <c r="X383" s="29"/>
      <c r="Y383" s="29"/>
      <c r="Z383" s="29"/>
    </row>
    <row r="384" spans="1:26" ht="15" thickBot="1">
      <c r="A384" s="32" t="s">
        <v>253</v>
      </c>
      <c r="B384" s="29" t="s">
        <v>230</v>
      </c>
      <c r="C384" s="29" t="s">
        <v>258</v>
      </c>
      <c r="D384" s="29" t="s">
        <v>242</v>
      </c>
      <c r="E384" s="29" t="s">
        <v>8</v>
      </c>
      <c r="F384" s="29" t="s">
        <v>245</v>
      </c>
      <c r="G384" s="29" t="s">
        <v>295</v>
      </c>
      <c r="H384" s="32">
        <v>14</v>
      </c>
      <c r="I384" s="32">
        <v>917.55</v>
      </c>
      <c r="J384" s="32">
        <v>12845.7</v>
      </c>
      <c r="K384" s="29"/>
      <c r="M384" s="29"/>
      <c r="N384" s="29"/>
      <c r="P384" s="29"/>
      <c r="Q384" s="29"/>
      <c r="S384" s="29"/>
      <c r="T384" s="29"/>
      <c r="V384" s="29"/>
      <c r="X384" s="29"/>
      <c r="Y384" s="29"/>
      <c r="Z384" s="29"/>
    </row>
    <row r="385" spans="1:26" ht="15" thickBot="1">
      <c r="A385" s="49">
        <v>45263</v>
      </c>
      <c r="B385" s="29" t="s">
        <v>260</v>
      </c>
      <c r="C385" s="29" t="s">
        <v>231</v>
      </c>
      <c r="D385" s="29" t="s">
        <v>232</v>
      </c>
      <c r="E385" s="29" t="s">
        <v>6</v>
      </c>
      <c r="F385" s="29" t="s">
        <v>259</v>
      </c>
      <c r="G385" s="29" t="s">
        <v>179</v>
      </c>
      <c r="H385" s="32">
        <v>1</v>
      </c>
      <c r="I385" s="32">
        <v>1598.87</v>
      </c>
      <c r="J385" s="32">
        <v>1598.87</v>
      </c>
      <c r="K385" s="29"/>
      <c r="M385" s="29"/>
      <c r="N385" s="29"/>
      <c r="P385" s="29"/>
      <c r="Q385" s="29"/>
      <c r="S385" s="29"/>
      <c r="T385" s="29"/>
      <c r="V385" s="29"/>
      <c r="X385" s="29"/>
      <c r="Y385" s="29"/>
      <c r="Z385" s="29"/>
    </row>
    <row r="386" spans="1:26" ht="15" thickBot="1">
      <c r="A386" s="49">
        <v>44936</v>
      </c>
      <c r="B386" s="29" t="s">
        <v>260</v>
      </c>
      <c r="C386" s="29" t="s">
        <v>273</v>
      </c>
      <c r="D386" s="29" t="s">
        <v>252</v>
      </c>
      <c r="E386" s="29" t="s">
        <v>5</v>
      </c>
      <c r="F386" s="29" t="s">
        <v>233</v>
      </c>
      <c r="G386" s="29" t="s">
        <v>234</v>
      </c>
      <c r="H386" s="32">
        <v>7</v>
      </c>
      <c r="I386" s="32">
        <v>405.27</v>
      </c>
      <c r="J386" s="32">
        <v>2836.89</v>
      </c>
      <c r="K386" s="29"/>
      <c r="M386" s="29"/>
      <c r="N386" s="29"/>
      <c r="P386" s="29"/>
      <c r="Q386" s="29"/>
      <c r="S386" s="29"/>
      <c r="T386" s="29"/>
      <c r="V386" s="29"/>
      <c r="X386" s="29"/>
      <c r="Y386" s="29"/>
      <c r="Z386" s="29"/>
    </row>
    <row r="387" spans="1:26" ht="15" thickBot="1">
      <c r="A387" s="49">
        <v>45270</v>
      </c>
      <c r="B387" s="29" t="s">
        <v>260</v>
      </c>
      <c r="C387" s="29" t="s">
        <v>249</v>
      </c>
      <c r="D387" s="29" t="s">
        <v>232</v>
      </c>
      <c r="E387" s="29" t="s">
        <v>6</v>
      </c>
      <c r="F387" s="29" t="s">
        <v>250</v>
      </c>
      <c r="G387" s="29" t="s">
        <v>277</v>
      </c>
      <c r="H387" s="32">
        <v>5</v>
      </c>
      <c r="I387" s="32">
        <v>2819.92</v>
      </c>
      <c r="J387" s="32">
        <v>14099.6</v>
      </c>
      <c r="K387" s="29"/>
      <c r="M387" s="29"/>
      <c r="N387" s="29"/>
      <c r="P387" s="29"/>
      <c r="Q387" s="29"/>
      <c r="S387" s="29"/>
      <c r="T387" s="29"/>
      <c r="V387" s="29"/>
      <c r="X387" s="29"/>
      <c r="Y387" s="29"/>
      <c r="Z387" s="29"/>
    </row>
    <row r="388" spans="1:26" ht="15" thickBot="1">
      <c r="A388" s="32" t="s">
        <v>426</v>
      </c>
      <c r="B388" s="29" t="s">
        <v>240</v>
      </c>
      <c r="C388" s="29" t="s">
        <v>258</v>
      </c>
      <c r="D388" s="29" t="s">
        <v>242</v>
      </c>
      <c r="E388" s="29" t="s">
        <v>8</v>
      </c>
      <c r="F388" s="29" t="s">
        <v>259</v>
      </c>
      <c r="G388" s="29" t="s">
        <v>179</v>
      </c>
      <c r="H388" s="32">
        <v>7</v>
      </c>
      <c r="I388" s="32">
        <v>4023.6</v>
      </c>
      <c r="J388" s="32">
        <v>28165.200000000001</v>
      </c>
      <c r="K388" s="29"/>
      <c r="M388" s="29"/>
      <c r="N388" s="29"/>
      <c r="P388" s="29"/>
      <c r="Q388" s="29"/>
      <c r="S388" s="29"/>
      <c r="T388" s="29"/>
      <c r="V388" s="29"/>
      <c r="X388" s="29"/>
      <c r="Y388" s="29"/>
      <c r="Z388" s="29"/>
    </row>
    <row r="389" spans="1:26" ht="15" thickBot="1">
      <c r="A389" s="32" t="s">
        <v>309</v>
      </c>
      <c r="B389" s="29" t="s">
        <v>248</v>
      </c>
      <c r="C389" s="29" t="s">
        <v>255</v>
      </c>
      <c r="D389" s="29" t="s">
        <v>237</v>
      </c>
      <c r="E389" s="29" t="s">
        <v>8</v>
      </c>
      <c r="F389" s="29" t="s">
        <v>250</v>
      </c>
      <c r="G389" s="29" t="s">
        <v>277</v>
      </c>
      <c r="H389" s="32">
        <v>6</v>
      </c>
      <c r="I389" s="32">
        <v>4911.79</v>
      </c>
      <c r="J389" s="32">
        <v>29470.74</v>
      </c>
      <c r="K389" s="29"/>
      <c r="M389" s="29"/>
      <c r="N389" s="29"/>
      <c r="P389" s="29"/>
      <c r="Q389" s="29"/>
      <c r="S389" s="29"/>
      <c r="T389" s="29"/>
      <c r="V389" s="29"/>
      <c r="X389" s="29"/>
      <c r="Y389" s="29"/>
      <c r="Z389" s="29"/>
    </row>
    <row r="390" spans="1:26" ht="15" thickBot="1">
      <c r="A390" s="49">
        <v>45210</v>
      </c>
      <c r="B390" s="29" t="s">
        <v>257</v>
      </c>
      <c r="C390" s="29" t="s">
        <v>283</v>
      </c>
      <c r="D390" s="29" t="s">
        <v>242</v>
      </c>
      <c r="E390" s="29" t="s">
        <v>8</v>
      </c>
      <c r="F390" s="29" t="s">
        <v>233</v>
      </c>
      <c r="G390" s="29" t="s">
        <v>287</v>
      </c>
      <c r="H390" s="32">
        <v>7</v>
      </c>
      <c r="I390" s="32">
        <v>2186.75</v>
      </c>
      <c r="J390" s="32">
        <v>15307.25</v>
      </c>
      <c r="K390" s="29"/>
      <c r="M390" s="29"/>
      <c r="N390" s="29"/>
      <c r="P390" s="29"/>
      <c r="Q390" s="29"/>
      <c r="S390" s="29"/>
      <c r="T390" s="29"/>
      <c r="V390" s="29"/>
      <c r="X390" s="29"/>
      <c r="Y390" s="29"/>
      <c r="Z390" s="29"/>
    </row>
    <row r="391" spans="1:26" ht="15" thickBot="1">
      <c r="A391" s="32" t="s">
        <v>317</v>
      </c>
      <c r="B391" s="29" t="s">
        <v>280</v>
      </c>
      <c r="C391" s="29" t="s">
        <v>273</v>
      </c>
      <c r="D391" s="29" t="s">
        <v>252</v>
      </c>
      <c r="E391" s="29" t="s">
        <v>5</v>
      </c>
      <c r="F391" s="29" t="s">
        <v>238</v>
      </c>
      <c r="G391" s="29" t="s">
        <v>239</v>
      </c>
      <c r="H391" s="32">
        <v>9</v>
      </c>
      <c r="I391" s="32">
        <v>2304.23</v>
      </c>
      <c r="J391" s="32">
        <v>20738.07</v>
      </c>
      <c r="K391" s="29"/>
      <c r="M391" s="29"/>
      <c r="N391" s="29"/>
      <c r="P391" s="29"/>
      <c r="Q391" s="29"/>
      <c r="S391" s="29"/>
      <c r="T391" s="29"/>
      <c r="V391" s="29"/>
      <c r="X391" s="29"/>
      <c r="Y391" s="29"/>
      <c r="Z391" s="29"/>
    </row>
    <row r="392" spans="1:26" ht="15" thickBot="1">
      <c r="A392" s="49">
        <v>45021</v>
      </c>
      <c r="B392" s="29" t="s">
        <v>257</v>
      </c>
      <c r="C392" s="29" t="s">
        <v>249</v>
      </c>
      <c r="D392" s="29" t="s">
        <v>232</v>
      </c>
      <c r="E392" s="29" t="s">
        <v>6</v>
      </c>
      <c r="F392" s="29" t="s">
        <v>259</v>
      </c>
      <c r="G392" s="29" t="s">
        <v>182</v>
      </c>
      <c r="H392" s="32">
        <v>6</v>
      </c>
      <c r="I392" s="32">
        <v>2282.5500000000002</v>
      </c>
      <c r="J392" s="32">
        <v>13695.3</v>
      </c>
      <c r="K392" s="29"/>
      <c r="M392" s="29"/>
      <c r="N392" s="29"/>
      <c r="P392" s="29"/>
      <c r="Q392" s="29"/>
      <c r="S392" s="29"/>
      <c r="T392" s="29"/>
      <c r="V392" s="29"/>
      <c r="X392" s="29"/>
      <c r="Y392" s="29"/>
      <c r="Z392" s="29"/>
    </row>
    <row r="393" spans="1:26" ht="15" thickBot="1">
      <c r="A393" s="32" t="s">
        <v>402</v>
      </c>
      <c r="B393" s="29" t="s">
        <v>248</v>
      </c>
      <c r="C393" s="29" t="s">
        <v>261</v>
      </c>
      <c r="D393" s="29" t="s">
        <v>247</v>
      </c>
      <c r="E393" s="29" t="s">
        <v>6</v>
      </c>
      <c r="F393" s="29" t="s">
        <v>259</v>
      </c>
      <c r="G393" s="29" t="s">
        <v>298</v>
      </c>
      <c r="H393" s="32">
        <v>4</v>
      </c>
      <c r="I393" s="32">
        <v>4778.2299999999996</v>
      </c>
      <c r="J393" s="32">
        <v>19112.919999999998</v>
      </c>
      <c r="K393" s="29"/>
      <c r="M393" s="29"/>
      <c r="N393" s="29"/>
      <c r="P393" s="29"/>
      <c r="Q393" s="29"/>
      <c r="S393" s="29"/>
      <c r="T393" s="29"/>
      <c r="V393" s="29"/>
      <c r="X393" s="29"/>
      <c r="Y393" s="29"/>
      <c r="Z393" s="29"/>
    </row>
    <row r="394" spans="1:26" ht="15" thickBot="1">
      <c r="A394" s="49">
        <v>44931</v>
      </c>
      <c r="B394" s="29" t="s">
        <v>260</v>
      </c>
      <c r="C394" s="29" t="s">
        <v>236</v>
      </c>
      <c r="D394" s="29" t="s">
        <v>237</v>
      </c>
      <c r="E394" s="29" t="s">
        <v>8</v>
      </c>
      <c r="F394" s="29" t="s">
        <v>245</v>
      </c>
      <c r="G394" s="29" t="s">
        <v>269</v>
      </c>
      <c r="H394" s="32">
        <v>11</v>
      </c>
      <c r="I394" s="32">
        <v>1286.08</v>
      </c>
      <c r="J394" s="32">
        <v>14146.88</v>
      </c>
      <c r="K394" s="29"/>
      <c r="M394" s="29"/>
      <c r="N394" s="29"/>
      <c r="P394" s="29"/>
      <c r="Q394" s="29"/>
      <c r="S394" s="29"/>
      <c r="T394" s="29"/>
      <c r="V394" s="29"/>
      <c r="X394" s="29"/>
      <c r="Y394" s="29"/>
      <c r="Z394" s="29"/>
    </row>
    <row r="395" spans="1:26" ht="15" thickBot="1">
      <c r="A395" s="32" t="s">
        <v>427</v>
      </c>
      <c r="B395" s="29" t="s">
        <v>268</v>
      </c>
      <c r="C395" s="29" t="s">
        <v>274</v>
      </c>
      <c r="D395" s="29" t="s">
        <v>232</v>
      </c>
      <c r="E395" s="29" t="s">
        <v>6</v>
      </c>
      <c r="F395" s="29" t="s">
        <v>259</v>
      </c>
      <c r="G395" s="29" t="s">
        <v>299</v>
      </c>
      <c r="H395" s="32">
        <v>19</v>
      </c>
      <c r="I395" s="32">
        <v>1844.31</v>
      </c>
      <c r="J395" s="32">
        <v>35041.89</v>
      </c>
      <c r="K395" s="29"/>
      <c r="M395" s="29"/>
      <c r="N395" s="29"/>
      <c r="P395" s="29"/>
      <c r="Q395" s="29"/>
      <c r="S395" s="29"/>
      <c r="T395" s="29"/>
      <c r="V395" s="29"/>
      <c r="X395" s="29"/>
      <c r="Y395" s="29"/>
      <c r="Z395" s="29"/>
    </row>
    <row r="396" spans="1:26" ht="15" thickBot="1">
      <c r="A396" s="49">
        <v>44969</v>
      </c>
      <c r="B396" s="29" t="s">
        <v>268</v>
      </c>
      <c r="C396" s="29" t="s">
        <v>261</v>
      </c>
      <c r="D396" s="29" t="s">
        <v>247</v>
      </c>
      <c r="E396" s="29" t="s">
        <v>6</v>
      </c>
      <c r="F396" s="29" t="s">
        <v>245</v>
      </c>
      <c r="G396" s="29" t="s">
        <v>246</v>
      </c>
      <c r="H396" s="32">
        <v>14</v>
      </c>
      <c r="I396" s="32">
        <v>148.43</v>
      </c>
      <c r="J396" s="32">
        <v>2078.02</v>
      </c>
      <c r="K396" s="29"/>
      <c r="M396" s="29"/>
      <c r="N396" s="29"/>
      <c r="P396" s="29"/>
      <c r="Q396" s="29"/>
      <c r="S396" s="29"/>
      <c r="T396" s="29"/>
      <c r="V396" s="29"/>
      <c r="X396" s="29"/>
      <c r="Y396" s="29"/>
      <c r="Z396" s="29"/>
    </row>
    <row r="397" spans="1:26" ht="15" thickBot="1">
      <c r="A397" s="49">
        <v>45140</v>
      </c>
      <c r="B397" s="29" t="s">
        <v>268</v>
      </c>
      <c r="C397" s="29" t="s">
        <v>316</v>
      </c>
      <c r="D397" s="29" t="s">
        <v>247</v>
      </c>
      <c r="E397" s="29" t="s">
        <v>6</v>
      </c>
      <c r="F397" s="29" t="s">
        <v>238</v>
      </c>
      <c r="G397" s="29" t="s">
        <v>256</v>
      </c>
      <c r="H397" s="32">
        <v>3</v>
      </c>
      <c r="I397" s="32">
        <v>2502.81</v>
      </c>
      <c r="J397" s="32">
        <v>7508.43</v>
      </c>
      <c r="K397" s="29"/>
      <c r="M397" s="29"/>
      <c r="N397" s="29"/>
      <c r="P397" s="29"/>
      <c r="Q397" s="29"/>
      <c r="S397" s="29"/>
      <c r="T397" s="29"/>
      <c r="V397" s="29"/>
      <c r="X397" s="29"/>
      <c r="Y397" s="29"/>
      <c r="Z397" s="29"/>
    </row>
    <row r="398" spans="1:26" ht="15" thickBot="1">
      <c r="A398" s="49">
        <v>45082</v>
      </c>
      <c r="B398" s="29" t="s">
        <v>280</v>
      </c>
      <c r="C398" s="29" t="s">
        <v>261</v>
      </c>
      <c r="D398" s="29" t="s">
        <v>247</v>
      </c>
      <c r="E398" s="29" t="s">
        <v>6</v>
      </c>
      <c r="F398" s="29" t="s">
        <v>233</v>
      </c>
      <c r="G398" s="29" t="s">
        <v>287</v>
      </c>
      <c r="H398" s="32">
        <v>7</v>
      </c>
      <c r="I398" s="32">
        <v>3721.37</v>
      </c>
      <c r="J398" s="32">
        <v>26049.59</v>
      </c>
      <c r="K398" s="29"/>
      <c r="M398" s="29"/>
      <c r="N398" s="29"/>
      <c r="P398" s="29"/>
      <c r="Q398" s="29"/>
      <c r="S398" s="29"/>
      <c r="T398" s="29"/>
      <c r="V398" s="29"/>
      <c r="X398" s="29"/>
      <c r="Y398" s="29"/>
      <c r="Z398" s="29"/>
    </row>
    <row r="399" spans="1:26" ht="15" thickBot="1">
      <c r="A399" s="32" t="s">
        <v>428</v>
      </c>
      <c r="B399" s="29" t="s">
        <v>268</v>
      </c>
      <c r="C399" s="29" t="s">
        <v>236</v>
      </c>
      <c r="D399" s="29" t="s">
        <v>237</v>
      </c>
      <c r="E399" s="29" t="s">
        <v>8</v>
      </c>
      <c r="F399" s="29" t="s">
        <v>233</v>
      </c>
      <c r="G399" s="29" t="s">
        <v>301</v>
      </c>
      <c r="H399" s="32">
        <v>2</v>
      </c>
      <c r="I399" s="32">
        <v>3719.83</v>
      </c>
      <c r="J399" s="32">
        <v>7439.66</v>
      </c>
      <c r="K399" s="29"/>
      <c r="M399" s="29"/>
      <c r="N399" s="29"/>
      <c r="P399" s="29"/>
      <c r="Q399" s="29"/>
      <c r="S399" s="29"/>
      <c r="T399" s="29"/>
      <c r="V399" s="29"/>
      <c r="X399" s="29"/>
      <c r="Y399" s="29"/>
      <c r="Z399" s="29"/>
    </row>
    <row r="400" spans="1:26" ht="15" thickBot="1">
      <c r="A400" s="49">
        <v>45148</v>
      </c>
      <c r="B400" s="29" t="s">
        <v>240</v>
      </c>
      <c r="C400" s="29" t="s">
        <v>281</v>
      </c>
      <c r="D400" s="29" t="s">
        <v>252</v>
      </c>
      <c r="E400" s="29" t="s">
        <v>5</v>
      </c>
      <c r="F400" s="29" t="s">
        <v>245</v>
      </c>
      <c r="G400" s="29" t="s">
        <v>246</v>
      </c>
      <c r="H400" s="32">
        <v>19</v>
      </c>
      <c r="I400" s="32">
        <v>2862.47</v>
      </c>
      <c r="J400" s="32">
        <v>54386.93</v>
      </c>
      <c r="K400" s="29"/>
      <c r="M400" s="29"/>
      <c r="N400" s="29"/>
      <c r="P400" s="29"/>
      <c r="Q400" s="29"/>
      <c r="S400" s="29"/>
      <c r="T400" s="29"/>
      <c r="V400" s="29"/>
      <c r="X400" s="29"/>
      <c r="Y400" s="29"/>
      <c r="Z400" s="29"/>
    </row>
    <row r="401" spans="1:26" ht="15" thickBot="1">
      <c r="A401" s="32" t="s">
        <v>282</v>
      </c>
      <c r="B401" s="29" t="s">
        <v>254</v>
      </c>
      <c r="C401" s="29" t="s">
        <v>244</v>
      </c>
      <c r="D401" s="29" t="s">
        <v>237</v>
      </c>
      <c r="E401" s="29" t="s">
        <v>8</v>
      </c>
      <c r="F401" s="29" t="s">
        <v>238</v>
      </c>
      <c r="G401" s="29" t="s">
        <v>239</v>
      </c>
      <c r="H401" s="32">
        <v>5</v>
      </c>
      <c r="I401" s="32">
        <v>4715.05</v>
      </c>
      <c r="J401" s="32">
        <v>23575.25</v>
      </c>
      <c r="K401" s="29"/>
      <c r="M401" s="29"/>
      <c r="N401" s="29"/>
      <c r="P401" s="29"/>
      <c r="Q401" s="29"/>
      <c r="S401" s="29"/>
      <c r="T401" s="29"/>
      <c r="V401" s="29"/>
      <c r="X401" s="29"/>
      <c r="Y401" s="29"/>
      <c r="Z401" s="29"/>
    </row>
    <row r="402" spans="1:26" ht="15" thickBot="1">
      <c r="A402" s="32" t="s">
        <v>408</v>
      </c>
      <c r="B402" s="29" t="s">
        <v>240</v>
      </c>
      <c r="C402" s="29" t="s">
        <v>313</v>
      </c>
      <c r="D402" s="29" t="s">
        <v>252</v>
      </c>
      <c r="E402" s="29" t="s">
        <v>5</v>
      </c>
      <c r="F402" s="29" t="s">
        <v>250</v>
      </c>
      <c r="G402" s="29" t="s">
        <v>284</v>
      </c>
      <c r="H402" s="32">
        <v>11</v>
      </c>
      <c r="I402" s="32">
        <v>3314</v>
      </c>
      <c r="J402" s="32">
        <v>36454</v>
      </c>
      <c r="K402" s="29"/>
      <c r="M402" s="29"/>
      <c r="N402" s="29"/>
      <c r="P402" s="29"/>
      <c r="Q402" s="29"/>
      <c r="S402" s="29"/>
      <c r="T402" s="29"/>
      <c r="V402" s="29"/>
      <c r="X402" s="29"/>
      <c r="Y402" s="29"/>
      <c r="Z402" s="29"/>
    </row>
    <row r="403" spans="1:26" ht="15" thickBot="1">
      <c r="A403" s="49">
        <v>45174</v>
      </c>
      <c r="B403" s="29" t="s">
        <v>257</v>
      </c>
      <c r="C403" s="29" t="s">
        <v>258</v>
      </c>
      <c r="D403" s="29" t="s">
        <v>242</v>
      </c>
      <c r="E403" s="29" t="s">
        <v>8</v>
      </c>
      <c r="F403" s="29" t="s">
        <v>233</v>
      </c>
      <c r="G403" s="29" t="s">
        <v>234</v>
      </c>
      <c r="H403" s="32">
        <v>3</v>
      </c>
      <c r="I403" s="32">
        <v>4146.75</v>
      </c>
      <c r="J403" s="32">
        <v>12440.25</v>
      </c>
      <c r="K403" s="29"/>
      <c r="M403" s="29"/>
      <c r="N403" s="29"/>
      <c r="P403" s="29"/>
      <c r="Q403" s="29"/>
      <c r="S403" s="29"/>
      <c r="T403" s="29"/>
      <c r="V403" s="29"/>
      <c r="X403" s="29"/>
      <c r="Y403" s="29"/>
      <c r="Z403" s="29"/>
    </row>
    <row r="404" spans="1:26" ht="15" thickBot="1">
      <c r="A404" s="49">
        <v>45054</v>
      </c>
      <c r="B404" s="29" t="s">
        <v>268</v>
      </c>
      <c r="C404" s="29" t="s">
        <v>255</v>
      </c>
      <c r="D404" s="29" t="s">
        <v>237</v>
      </c>
      <c r="E404" s="29" t="s">
        <v>8</v>
      </c>
      <c r="F404" s="29" t="s">
        <v>259</v>
      </c>
      <c r="G404" s="29" t="s">
        <v>299</v>
      </c>
      <c r="H404" s="32">
        <v>4</v>
      </c>
      <c r="I404" s="32">
        <v>4062.52</v>
      </c>
      <c r="J404" s="32">
        <v>16250.08</v>
      </c>
      <c r="K404" s="29"/>
      <c r="M404" s="29"/>
      <c r="N404" s="29"/>
      <c r="P404" s="29"/>
      <c r="Q404" s="29"/>
      <c r="S404" s="29"/>
      <c r="T404" s="29"/>
      <c r="V404" s="29"/>
      <c r="X404" s="29"/>
      <c r="Y404" s="29"/>
      <c r="Z404" s="29"/>
    </row>
    <row r="405" spans="1:26" ht="15" thickBot="1">
      <c r="A405" s="49">
        <v>45141</v>
      </c>
      <c r="B405" s="29" t="s">
        <v>268</v>
      </c>
      <c r="C405" s="29" t="s">
        <v>283</v>
      </c>
      <c r="D405" s="29" t="s">
        <v>242</v>
      </c>
      <c r="E405" s="29" t="s">
        <v>8</v>
      </c>
      <c r="F405" s="29" t="s">
        <v>259</v>
      </c>
      <c r="G405" s="29" t="s">
        <v>299</v>
      </c>
      <c r="H405" s="32">
        <v>4</v>
      </c>
      <c r="I405" s="32">
        <v>3022.21</v>
      </c>
      <c r="J405" s="32">
        <v>12088.84</v>
      </c>
      <c r="K405" s="29"/>
      <c r="M405" s="29"/>
      <c r="N405" s="29"/>
      <c r="P405" s="29"/>
      <c r="Q405" s="29"/>
      <c r="S405" s="29"/>
      <c r="T405" s="29"/>
      <c r="V405" s="29"/>
      <c r="X405" s="29"/>
      <c r="Y405" s="29"/>
      <c r="Z405" s="29"/>
    </row>
    <row r="406" spans="1:26" ht="15" thickBot="1">
      <c r="A406" s="49">
        <v>45019</v>
      </c>
      <c r="B406" s="29" t="s">
        <v>240</v>
      </c>
      <c r="C406" s="29" t="s">
        <v>281</v>
      </c>
      <c r="D406" s="29" t="s">
        <v>252</v>
      </c>
      <c r="E406" s="29" t="s">
        <v>5</v>
      </c>
      <c r="F406" s="29" t="s">
        <v>250</v>
      </c>
      <c r="G406" s="29" t="s">
        <v>277</v>
      </c>
      <c r="H406" s="32">
        <v>7</v>
      </c>
      <c r="I406" s="32">
        <v>217.04</v>
      </c>
      <c r="J406" s="32">
        <v>1519.28</v>
      </c>
      <c r="K406" s="29"/>
      <c r="M406" s="29"/>
      <c r="N406" s="29"/>
      <c r="P406" s="29"/>
      <c r="Q406" s="29"/>
      <c r="S406" s="29"/>
      <c r="T406" s="29"/>
      <c r="V406" s="29"/>
      <c r="X406" s="29"/>
      <c r="Y406" s="29"/>
      <c r="Z406" s="29"/>
    </row>
    <row r="407" spans="1:26" ht="15" thickBot="1">
      <c r="A407" s="49">
        <v>45115</v>
      </c>
      <c r="B407" s="29" t="s">
        <v>268</v>
      </c>
      <c r="C407" s="29" t="s">
        <v>283</v>
      </c>
      <c r="D407" s="29" t="s">
        <v>242</v>
      </c>
      <c r="E407" s="29" t="s">
        <v>8</v>
      </c>
      <c r="F407" s="29" t="s">
        <v>250</v>
      </c>
      <c r="G407" s="29" t="s">
        <v>277</v>
      </c>
      <c r="H407" s="32">
        <v>2</v>
      </c>
      <c r="I407" s="32">
        <v>4883.5600000000004</v>
      </c>
      <c r="J407" s="32">
        <v>9767.1200000000008</v>
      </c>
      <c r="K407" s="29"/>
      <c r="M407" s="29"/>
      <c r="N407" s="29"/>
      <c r="P407" s="29"/>
      <c r="Q407" s="29"/>
      <c r="S407" s="29"/>
      <c r="T407" s="29"/>
      <c r="V407" s="29"/>
      <c r="X407" s="29"/>
      <c r="Y407" s="29"/>
      <c r="Z407" s="29"/>
    </row>
    <row r="408" spans="1:26" ht="15" thickBot="1">
      <c r="A408" s="32" t="s">
        <v>429</v>
      </c>
      <c r="B408" s="29" t="s">
        <v>280</v>
      </c>
      <c r="C408" s="29" t="s">
        <v>316</v>
      </c>
      <c r="D408" s="29" t="s">
        <v>247</v>
      </c>
      <c r="E408" s="29" t="s">
        <v>6</v>
      </c>
      <c r="F408" s="29" t="s">
        <v>259</v>
      </c>
      <c r="G408" s="29" t="s">
        <v>298</v>
      </c>
      <c r="H408" s="32">
        <v>16</v>
      </c>
      <c r="I408" s="32">
        <v>2015.76</v>
      </c>
      <c r="J408" s="32">
        <v>32252.16</v>
      </c>
      <c r="K408" s="29"/>
      <c r="M408" s="29"/>
      <c r="N408" s="29"/>
      <c r="P408" s="29"/>
      <c r="Q408" s="29"/>
      <c r="S408" s="29"/>
      <c r="T408" s="29"/>
      <c r="V408" s="29"/>
      <c r="X408" s="29"/>
      <c r="Y408" s="29"/>
      <c r="Z408" s="29"/>
    </row>
    <row r="409" spans="1:26" ht="15" thickBot="1">
      <c r="A409" s="49">
        <v>45236</v>
      </c>
      <c r="B409" s="29" t="s">
        <v>271</v>
      </c>
      <c r="C409" s="29" t="s">
        <v>241</v>
      </c>
      <c r="D409" s="29" t="s">
        <v>242</v>
      </c>
      <c r="E409" s="29" t="s">
        <v>8</v>
      </c>
      <c r="F409" s="29" t="s">
        <v>250</v>
      </c>
      <c r="G409" s="29" t="s">
        <v>251</v>
      </c>
      <c r="H409" s="32">
        <v>1</v>
      </c>
      <c r="I409" s="32">
        <v>2777.22</v>
      </c>
      <c r="J409" s="32">
        <v>2777.22</v>
      </c>
      <c r="K409" s="29"/>
      <c r="M409" s="29"/>
      <c r="N409" s="29"/>
      <c r="P409" s="29"/>
      <c r="Q409" s="29"/>
      <c r="S409" s="29"/>
      <c r="T409" s="29"/>
      <c r="V409" s="29"/>
      <c r="X409" s="29"/>
      <c r="Y409" s="29"/>
      <c r="Z409" s="29"/>
    </row>
    <row r="410" spans="1:26" ht="15" thickBot="1">
      <c r="A410" s="32" t="s">
        <v>377</v>
      </c>
      <c r="B410" s="29" t="s">
        <v>235</v>
      </c>
      <c r="C410" s="29" t="s">
        <v>241</v>
      </c>
      <c r="D410" s="29" t="s">
        <v>242</v>
      </c>
      <c r="E410" s="29" t="s">
        <v>8</v>
      </c>
      <c r="F410" s="29" t="s">
        <v>233</v>
      </c>
      <c r="G410" s="29" t="s">
        <v>287</v>
      </c>
      <c r="H410" s="32">
        <v>13</v>
      </c>
      <c r="I410" s="32">
        <v>4318.62</v>
      </c>
      <c r="J410" s="32">
        <v>56142.06</v>
      </c>
      <c r="K410" s="29"/>
      <c r="M410" s="29"/>
      <c r="N410" s="29"/>
      <c r="P410" s="29"/>
      <c r="Q410" s="29"/>
      <c r="S410" s="29"/>
      <c r="T410" s="29"/>
      <c r="V410" s="29"/>
      <c r="X410" s="29"/>
      <c r="Y410" s="29"/>
      <c r="Z410" s="29"/>
    </row>
    <row r="411" spans="1:26" ht="15" thickBot="1">
      <c r="A411" s="32" t="s">
        <v>430</v>
      </c>
      <c r="B411" s="29" t="s">
        <v>280</v>
      </c>
      <c r="C411" s="29" t="s">
        <v>231</v>
      </c>
      <c r="D411" s="29" t="s">
        <v>232</v>
      </c>
      <c r="E411" s="29" t="s">
        <v>6</v>
      </c>
      <c r="F411" s="29" t="s">
        <v>259</v>
      </c>
      <c r="G411" s="29" t="s">
        <v>298</v>
      </c>
      <c r="H411" s="32">
        <v>15</v>
      </c>
      <c r="I411" s="32">
        <v>3225.2</v>
      </c>
      <c r="J411" s="32">
        <v>48378</v>
      </c>
      <c r="K411" s="29"/>
      <c r="M411" s="29"/>
      <c r="N411" s="29"/>
      <c r="P411" s="29"/>
      <c r="Q411" s="29"/>
      <c r="S411" s="29"/>
      <c r="T411" s="29"/>
      <c r="V411" s="29"/>
      <c r="X411" s="29"/>
      <c r="Y411" s="29"/>
      <c r="Z411" s="29"/>
    </row>
    <row r="412" spans="1:26" ht="15" thickBot="1">
      <c r="A412" s="32" t="s">
        <v>419</v>
      </c>
      <c r="B412" s="29" t="s">
        <v>257</v>
      </c>
      <c r="C412" s="29" t="s">
        <v>231</v>
      </c>
      <c r="D412" s="29" t="s">
        <v>232</v>
      </c>
      <c r="E412" s="29" t="s">
        <v>6</v>
      </c>
      <c r="F412" s="29" t="s">
        <v>259</v>
      </c>
      <c r="G412" s="29" t="s">
        <v>298</v>
      </c>
      <c r="H412" s="32">
        <v>9</v>
      </c>
      <c r="I412" s="32">
        <v>631.99</v>
      </c>
      <c r="J412" s="32">
        <v>5687.91</v>
      </c>
      <c r="K412" s="29"/>
      <c r="M412" s="29"/>
      <c r="N412" s="29"/>
      <c r="P412" s="29"/>
      <c r="Q412" s="29"/>
      <c r="S412" s="29"/>
      <c r="T412" s="29"/>
      <c r="V412" s="29"/>
      <c r="X412" s="29"/>
      <c r="Y412" s="29"/>
      <c r="Z412" s="29"/>
    </row>
    <row r="413" spans="1:26" ht="15" thickBot="1">
      <c r="A413" s="49">
        <v>45051</v>
      </c>
      <c r="B413" s="29" t="s">
        <v>248</v>
      </c>
      <c r="C413" s="29" t="s">
        <v>281</v>
      </c>
      <c r="D413" s="29" t="s">
        <v>252</v>
      </c>
      <c r="E413" s="29" t="s">
        <v>5</v>
      </c>
      <c r="F413" s="29" t="s">
        <v>238</v>
      </c>
      <c r="G413" s="29" t="s">
        <v>296</v>
      </c>
      <c r="H413" s="32">
        <v>16</v>
      </c>
      <c r="I413" s="32">
        <v>981</v>
      </c>
      <c r="J413" s="32">
        <v>15696</v>
      </c>
      <c r="K413" s="29"/>
      <c r="M413" s="29"/>
      <c r="N413" s="29"/>
      <c r="P413" s="29"/>
      <c r="Q413" s="29"/>
      <c r="S413" s="29"/>
      <c r="T413" s="29"/>
      <c r="V413" s="29"/>
      <c r="X413" s="29"/>
      <c r="Y413" s="29"/>
      <c r="Z413" s="29"/>
    </row>
    <row r="414" spans="1:26" ht="15" thickBot="1">
      <c r="A414" s="49">
        <v>45266</v>
      </c>
      <c r="B414" s="29" t="s">
        <v>271</v>
      </c>
      <c r="C414" s="29" t="s">
        <v>261</v>
      </c>
      <c r="D414" s="29" t="s">
        <v>247</v>
      </c>
      <c r="E414" s="29" t="s">
        <v>6</v>
      </c>
      <c r="F414" s="29" t="s">
        <v>259</v>
      </c>
      <c r="G414" s="29" t="s">
        <v>182</v>
      </c>
      <c r="H414" s="32">
        <v>14</v>
      </c>
      <c r="I414" s="32">
        <v>1049.21</v>
      </c>
      <c r="J414" s="32">
        <v>14688.94</v>
      </c>
      <c r="K414" s="29"/>
      <c r="M414" s="29"/>
      <c r="N414" s="29"/>
      <c r="P414" s="29"/>
      <c r="Q414" s="29"/>
      <c r="S414" s="29"/>
      <c r="T414" s="29"/>
      <c r="V414" s="29"/>
      <c r="X414" s="29"/>
      <c r="Y414" s="29"/>
      <c r="Z414" s="29"/>
    </row>
    <row r="415" spans="1:26" ht="15" thickBot="1">
      <c r="A415" s="32" t="s">
        <v>428</v>
      </c>
      <c r="B415" s="29" t="s">
        <v>280</v>
      </c>
      <c r="C415" s="29" t="s">
        <v>236</v>
      </c>
      <c r="D415" s="29" t="s">
        <v>237</v>
      </c>
      <c r="E415" s="29" t="s">
        <v>8</v>
      </c>
      <c r="F415" s="29" t="s">
        <v>233</v>
      </c>
      <c r="G415" s="29" t="s">
        <v>234</v>
      </c>
      <c r="H415" s="32">
        <v>3</v>
      </c>
      <c r="I415" s="32">
        <v>3276.84</v>
      </c>
      <c r="J415" s="32">
        <v>9830.52</v>
      </c>
      <c r="K415" s="29"/>
      <c r="M415" s="29"/>
      <c r="N415" s="29"/>
      <c r="P415" s="29"/>
      <c r="Q415" s="29"/>
      <c r="S415" s="29"/>
      <c r="T415" s="29"/>
      <c r="V415" s="29"/>
      <c r="X415" s="29"/>
      <c r="Y415" s="29"/>
      <c r="Z415" s="29"/>
    </row>
    <row r="416" spans="1:26" ht="15" thickBot="1">
      <c r="A416" s="49">
        <v>45207</v>
      </c>
      <c r="B416" s="29" t="s">
        <v>248</v>
      </c>
      <c r="C416" s="29" t="s">
        <v>249</v>
      </c>
      <c r="D416" s="29" t="s">
        <v>232</v>
      </c>
      <c r="E416" s="29" t="s">
        <v>6</v>
      </c>
      <c r="F416" s="29" t="s">
        <v>259</v>
      </c>
      <c r="G416" s="29" t="s">
        <v>179</v>
      </c>
      <c r="H416" s="32">
        <v>10</v>
      </c>
      <c r="I416" s="32">
        <v>1693.46</v>
      </c>
      <c r="J416" s="32">
        <v>16934.599999999999</v>
      </c>
      <c r="K416" s="29"/>
      <c r="M416" s="29"/>
      <c r="N416" s="29"/>
      <c r="P416" s="29"/>
      <c r="Q416" s="29"/>
      <c r="S416" s="29"/>
      <c r="T416" s="29"/>
      <c r="V416" s="29"/>
      <c r="X416" s="29"/>
      <c r="Y416" s="29"/>
      <c r="Z416" s="29"/>
    </row>
    <row r="417" spans="1:26" ht="15" thickBot="1">
      <c r="A417" s="32" t="s">
        <v>369</v>
      </c>
      <c r="B417" s="29" t="s">
        <v>271</v>
      </c>
      <c r="C417" s="29" t="s">
        <v>313</v>
      </c>
      <c r="D417" s="29" t="s">
        <v>252</v>
      </c>
      <c r="E417" s="29" t="s">
        <v>5</v>
      </c>
      <c r="F417" s="29" t="s">
        <v>238</v>
      </c>
      <c r="G417" s="29" t="s">
        <v>296</v>
      </c>
      <c r="H417" s="32">
        <v>15</v>
      </c>
      <c r="I417" s="32">
        <v>1790.58</v>
      </c>
      <c r="J417" s="32">
        <v>26858.7</v>
      </c>
      <c r="K417" s="29"/>
      <c r="M417" s="29"/>
      <c r="N417" s="29"/>
      <c r="P417" s="29"/>
      <c r="Q417" s="29"/>
      <c r="S417" s="29"/>
      <c r="T417" s="29"/>
      <c r="V417" s="29"/>
      <c r="X417" s="29"/>
      <c r="Y417" s="29"/>
      <c r="Z417" s="29"/>
    </row>
    <row r="418" spans="1:26" ht="15" thickBot="1">
      <c r="A418" s="32" t="s">
        <v>357</v>
      </c>
      <c r="B418" s="29" t="s">
        <v>254</v>
      </c>
      <c r="C418" s="29" t="s">
        <v>261</v>
      </c>
      <c r="D418" s="29" t="s">
        <v>247</v>
      </c>
      <c r="E418" s="29" t="s">
        <v>6</v>
      </c>
      <c r="F418" s="29" t="s">
        <v>233</v>
      </c>
      <c r="G418" s="29" t="s">
        <v>287</v>
      </c>
      <c r="H418" s="32">
        <v>16</v>
      </c>
      <c r="I418" s="32">
        <v>1018.83</v>
      </c>
      <c r="J418" s="32">
        <v>16301.28</v>
      </c>
      <c r="K418" s="29"/>
      <c r="M418" s="29"/>
      <c r="N418" s="29"/>
      <c r="P418" s="29"/>
      <c r="Q418" s="29"/>
      <c r="S418" s="29"/>
      <c r="T418" s="29"/>
      <c r="V418" s="29"/>
      <c r="X418" s="29"/>
      <c r="Y418" s="29"/>
      <c r="Z418" s="29"/>
    </row>
    <row r="419" spans="1:26" ht="15" thickBot="1">
      <c r="A419" s="49">
        <v>45109</v>
      </c>
      <c r="B419" s="29" t="s">
        <v>257</v>
      </c>
      <c r="C419" s="29" t="s">
        <v>283</v>
      </c>
      <c r="D419" s="29" t="s">
        <v>242</v>
      </c>
      <c r="E419" s="29" t="s">
        <v>8</v>
      </c>
      <c r="F419" s="29" t="s">
        <v>259</v>
      </c>
      <c r="G419" s="29" t="s">
        <v>299</v>
      </c>
      <c r="H419" s="32">
        <v>6</v>
      </c>
      <c r="I419" s="32">
        <v>1246.5899999999999</v>
      </c>
      <c r="J419" s="32">
        <v>7479.54</v>
      </c>
      <c r="K419" s="29"/>
      <c r="M419" s="29"/>
      <c r="N419" s="29"/>
      <c r="P419" s="29"/>
      <c r="Q419" s="29"/>
      <c r="S419" s="29"/>
      <c r="T419" s="29"/>
      <c r="V419" s="29"/>
      <c r="X419" s="29"/>
      <c r="Y419" s="29"/>
      <c r="Z419" s="29"/>
    </row>
    <row r="420" spans="1:26" ht="15" thickBot="1">
      <c r="A420" s="32" t="s">
        <v>291</v>
      </c>
      <c r="B420" s="29" t="s">
        <v>268</v>
      </c>
      <c r="C420" s="29" t="s">
        <v>236</v>
      </c>
      <c r="D420" s="29" t="s">
        <v>237</v>
      </c>
      <c r="E420" s="29" t="s">
        <v>8</v>
      </c>
      <c r="F420" s="29" t="s">
        <v>250</v>
      </c>
      <c r="G420" s="29" t="s">
        <v>284</v>
      </c>
      <c r="H420" s="32">
        <v>14</v>
      </c>
      <c r="I420" s="32">
        <v>859.79</v>
      </c>
      <c r="J420" s="32">
        <v>12037.06</v>
      </c>
      <c r="K420" s="29"/>
      <c r="M420" s="29"/>
      <c r="N420" s="29"/>
      <c r="P420" s="29"/>
      <c r="Q420" s="29"/>
      <c r="S420" s="29"/>
      <c r="T420" s="29"/>
      <c r="V420" s="29"/>
      <c r="X420" s="29"/>
      <c r="Y420" s="29"/>
      <c r="Z420" s="29"/>
    </row>
    <row r="421" spans="1:26" ht="15" thickBot="1">
      <c r="A421" s="49">
        <v>45180</v>
      </c>
      <c r="B421" s="29" t="s">
        <v>230</v>
      </c>
      <c r="C421" s="29" t="s">
        <v>313</v>
      </c>
      <c r="D421" s="29" t="s">
        <v>252</v>
      </c>
      <c r="E421" s="29" t="s">
        <v>5</v>
      </c>
      <c r="F421" s="29" t="s">
        <v>245</v>
      </c>
      <c r="G421" s="29" t="s">
        <v>266</v>
      </c>
      <c r="H421" s="32">
        <v>12</v>
      </c>
      <c r="I421" s="32">
        <v>149.16</v>
      </c>
      <c r="J421" s="32">
        <v>1789.92</v>
      </c>
      <c r="K421" s="29"/>
      <c r="M421" s="29"/>
      <c r="N421" s="29"/>
      <c r="P421" s="29"/>
      <c r="Q421" s="29"/>
      <c r="S421" s="29"/>
      <c r="T421" s="29"/>
      <c r="V421" s="29"/>
      <c r="X421" s="29"/>
      <c r="Y421" s="29"/>
      <c r="Z421" s="29"/>
    </row>
    <row r="422" spans="1:26" ht="15" thickBot="1">
      <c r="A422" s="32" t="s">
        <v>431</v>
      </c>
      <c r="B422" s="29" t="s">
        <v>254</v>
      </c>
      <c r="C422" s="29" t="s">
        <v>231</v>
      </c>
      <c r="D422" s="29" t="s">
        <v>232</v>
      </c>
      <c r="E422" s="29" t="s">
        <v>6</v>
      </c>
      <c r="F422" s="29" t="s">
        <v>233</v>
      </c>
      <c r="G422" s="29" t="s">
        <v>287</v>
      </c>
      <c r="H422" s="32">
        <v>20</v>
      </c>
      <c r="I422" s="32">
        <v>1108.83</v>
      </c>
      <c r="J422" s="32">
        <v>22176.6</v>
      </c>
      <c r="K422" s="29"/>
      <c r="M422" s="29"/>
      <c r="N422" s="29"/>
      <c r="P422" s="29"/>
      <c r="Q422" s="29"/>
      <c r="S422" s="29"/>
      <c r="T422" s="29"/>
      <c r="V422" s="29"/>
      <c r="X422" s="29"/>
      <c r="Y422" s="29"/>
      <c r="Z422" s="29"/>
    </row>
    <row r="423" spans="1:26" ht="15" thickBot="1">
      <c r="A423" s="32" t="s">
        <v>379</v>
      </c>
      <c r="B423" s="29" t="s">
        <v>257</v>
      </c>
      <c r="C423" s="29" t="s">
        <v>241</v>
      </c>
      <c r="D423" s="29" t="s">
        <v>242</v>
      </c>
      <c r="E423" s="29" t="s">
        <v>8</v>
      </c>
      <c r="F423" s="29" t="s">
        <v>233</v>
      </c>
      <c r="G423" s="29" t="s">
        <v>304</v>
      </c>
      <c r="H423" s="32">
        <v>8</v>
      </c>
      <c r="I423" s="32">
        <v>3628.65</v>
      </c>
      <c r="J423" s="32">
        <v>29029.200000000001</v>
      </c>
      <c r="K423" s="29"/>
      <c r="M423" s="29"/>
      <c r="N423" s="29"/>
      <c r="P423" s="29"/>
      <c r="Q423" s="29"/>
      <c r="S423" s="29"/>
      <c r="T423" s="29"/>
      <c r="V423" s="29"/>
      <c r="X423" s="29"/>
      <c r="Y423" s="29"/>
      <c r="Z423" s="29"/>
    </row>
    <row r="424" spans="1:26" ht="15" thickBot="1">
      <c r="A424" s="32" t="s">
        <v>253</v>
      </c>
      <c r="B424" s="29" t="s">
        <v>230</v>
      </c>
      <c r="C424" s="29" t="s">
        <v>261</v>
      </c>
      <c r="D424" s="29" t="s">
        <v>247</v>
      </c>
      <c r="E424" s="29" t="s">
        <v>6</v>
      </c>
      <c r="F424" s="29" t="s">
        <v>245</v>
      </c>
      <c r="G424" s="29" t="s">
        <v>266</v>
      </c>
      <c r="H424" s="32">
        <v>19</v>
      </c>
      <c r="I424" s="32">
        <v>1317.72</v>
      </c>
      <c r="J424" s="32">
        <v>25036.68</v>
      </c>
      <c r="K424" s="29"/>
      <c r="M424" s="29"/>
      <c r="N424" s="29"/>
      <c r="P424" s="29"/>
      <c r="Q424" s="29"/>
      <c r="S424" s="29"/>
      <c r="T424" s="29"/>
      <c r="V424" s="29"/>
      <c r="X424" s="29"/>
      <c r="Y424" s="29"/>
      <c r="Z424" s="29"/>
    </row>
    <row r="425" spans="1:26" ht="15" thickBot="1">
      <c r="A425" s="32" t="s">
        <v>432</v>
      </c>
      <c r="B425" s="29" t="s">
        <v>254</v>
      </c>
      <c r="C425" s="29" t="s">
        <v>281</v>
      </c>
      <c r="D425" s="29" t="s">
        <v>252</v>
      </c>
      <c r="E425" s="29" t="s">
        <v>5</v>
      </c>
      <c r="F425" s="29" t="s">
        <v>245</v>
      </c>
      <c r="G425" s="29" t="s">
        <v>295</v>
      </c>
      <c r="H425" s="32">
        <v>16</v>
      </c>
      <c r="I425" s="32">
        <v>2995.01</v>
      </c>
      <c r="J425" s="32">
        <v>47920.160000000003</v>
      </c>
      <c r="K425" s="29"/>
      <c r="M425" s="29"/>
      <c r="N425" s="29"/>
      <c r="P425" s="29"/>
      <c r="Q425" s="29"/>
      <c r="S425" s="29"/>
      <c r="T425" s="29"/>
      <c r="V425" s="29"/>
      <c r="X425" s="29"/>
      <c r="Y425" s="29"/>
      <c r="Z425" s="29"/>
    </row>
    <row r="426" spans="1:26" ht="15" thickBot="1">
      <c r="A426" s="32" t="s">
        <v>410</v>
      </c>
      <c r="B426" s="29" t="s">
        <v>257</v>
      </c>
      <c r="C426" s="29" t="s">
        <v>274</v>
      </c>
      <c r="D426" s="29" t="s">
        <v>232</v>
      </c>
      <c r="E426" s="29" t="s">
        <v>6</v>
      </c>
      <c r="F426" s="29" t="s">
        <v>233</v>
      </c>
      <c r="G426" s="29" t="s">
        <v>304</v>
      </c>
      <c r="H426" s="32">
        <v>11</v>
      </c>
      <c r="I426" s="32">
        <v>2318.96</v>
      </c>
      <c r="J426" s="32">
        <v>25508.560000000001</v>
      </c>
      <c r="K426" s="29"/>
      <c r="M426" s="29"/>
      <c r="N426" s="29"/>
      <c r="P426" s="29"/>
      <c r="Q426" s="29"/>
      <c r="S426" s="29"/>
      <c r="T426" s="29"/>
      <c r="V426" s="29"/>
      <c r="X426" s="29"/>
      <c r="Y426" s="29"/>
      <c r="Z426" s="29"/>
    </row>
    <row r="427" spans="1:26" ht="15" thickBot="1">
      <c r="A427" s="32" t="s">
        <v>294</v>
      </c>
      <c r="B427" s="29" t="s">
        <v>240</v>
      </c>
      <c r="C427" s="29" t="s">
        <v>258</v>
      </c>
      <c r="D427" s="29" t="s">
        <v>242</v>
      </c>
      <c r="E427" s="29" t="s">
        <v>8</v>
      </c>
      <c r="F427" s="29" t="s">
        <v>250</v>
      </c>
      <c r="G427" s="29" t="s">
        <v>284</v>
      </c>
      <c r="H427" s="32">
        <v>14</v>
      </c>
      <c r="I427" s="32">
        <v>4935.3</v>
      </c>
      <c r="J427" s="32">
        <v>69094.2</v>
      </c>
      <c r="K427" s="29"/>
      <c r="M427" s="29"/>
      <c r="N427" s="29"/>
      <c r="P427" s="29"/>
      <c r="Q427" s="29"/>
      <c r="S427" s="29"/>
      <c r="T427" s="29"/>
      <c r="V427" s="29"/>
      <c r="X427" s="29"/>
      <c r="Y427" s="29"/>
      <c r="Z427" s="29"/>
    </row>
    <row r="428" spans="1:26" ht="15" thickBot="1">
      <c r="A428" s="32" t="s">
        <v>433</v>
      </c>
      <c r="B428" s="29" t="s">
        <v>271</v>
      </c>
      <c r="C428" s="29" t="s">
        <v>283</v>
      </c>
      <c r="D428" s="29" t="s">
        <v>242</v>
      </c>
      <c r="E428" s="29" t="s">
        <v>8</v>
      </c>
      <c r="F428" s="29" t="s">
        <v>233</v>
      </c>
      <c r="G428" s="29" t="s">
        <v>287</v>
      </c>
      <c r="H428" s="32">
        <v>1</v>
      </c>
      <c r="I428" s="32">
        <v>1083.26</v>
      </c>
      <c r="J428" s="32">
        <v>1083.26</v>
      </c>
      <c r="K428" s="29"/>
      <c r="M428" s="29"/>
      <c r="N428" s="29"/>
      <c r="P428" s="29"/>
      <c r="Q428" s="29"/>
      <c r="S428" s="29"/>
      <c r="T428" s="29"/>
      <c r="V428" s="29"/>
      <c r="X428" s="29"/>
      <c r="Y428" s="29"/>
      <c r="Z428" s="29"/>
    </row>
    <row r="429" spans="1:26" ht="15" thickBot="1">
      <c r="A429" s="49">
        <v>45056</v>
      </c>
      <c r="B429" s="29" t="s">
        <v>268</v>
      </c>
      <c r="C429" s="29" t="s">
        <v>244</v>
      </c>
      <c r="D429" s="29" t="s">
        <v>237</v>
      </c>
      <c r="E429" s="29" t="s">
        <v>8</v>
      </c>
      <c r="F429" s="29" t="s">
        <v>233</v>
      </c>
      <c r="G429" s="29" t="s">
        <v>287</v>
      </c>
      <c r="H429" s="32">
        <v>11</v>
      </c>
      <c r="I429" s="32">
        <v>1673.53</v>
      </c>
      <c r="J429" s="32">
        <v>18408.830000000002</v>
      </c>
      <c r="K429" s="29"/>
      <c r="M429" s="29"/>
      <c r="N429" s="29"/>
      <c r="P429" s="29"/>
      <c r="Q429" s="29"/>
      <c r="S429" s="29"/>
      <c r="T429" s="29"/>
      <c r="V429" s="29"/>
      <c r="X429" s="29"/>
      <c r="Y429" s="29"/>
      <c r="Z429" s="29"/>
    </row>
    <row r="430" spans="1:26" ht="15" thickBot="1">
      <c r="A430" s="32" t="s">
        <v>383</v>
      </c>
      <c r="B430" s="29" t="s">
        <v>248</v>
      </c>
      <c r="C430" s="29" t="s">
        <v>261</v>
      </c>
      <c r="D430" s="29" t="s">
        <v>247</v>
      </c>
      <c r="E430" s="29" t="s">
        <v>6</v>
      </c>
      <c r="F430" s="29" t="s">
        <v>259</v>
      </c>
      <c r="G430" s="29" t="s">
        <v>298</v>
      </c>
      <c r="H430" s="32">
        <v>10</v>
      </c>
      <c r="I430" s="32">
        <v>3829.38</v>
      </c>
      <c r="J430" s="32">
        <v>38293.800000000003</v>
      </c>
      <c r="K430" s="29"/>
      <c r="M430" s="29"/>
      <c r="N430" s="29"/>
      <c r="P430" s="29"/>
      <c r="Q430" s="29"/>
      <c r="S430" s="29"/>
      <c r="T430" s="29"/>
      <c r="V430" s="29"/>
      <c r="X430" s="29"/>
      <c r="Y430" s="29"/>
      <c r="Z430" s="29"/>
    </row>
    <row r="431" spans="1:26" ht="15" thickBot="1">
      <c r="A431" s="32" t="s">
        <v>309</v>
      </c>
      <c r="B431" s="29" t="s">
        <v>268</v>
      </c>
      <c r="C431" s="29" t="s">
        <v>241</v>
      </c>
      <c r="D431" s="29" t="s">
        <v>242</v>
      </c>
      <c r="E431" s="29" t="s">
        <v>8</v>
      </c>
      <c r="F431" s="29" t="s">
        <v>245</v>
      </c>
      <c r="G431" s="29" t="s">
        <v>246</v>
      </c>
      <c r="H431" s="32">
        <v>6</v>
      </c>
      <c r="I431" s="32">
        <v>470.36</v>
      </c>
      <c r="J431" s="32">
        <v>2822.16</v>
      </c>
      <c r="K431" s="29"/>
      <c r="M431" s="29"/>
      <c r="N431" s="29"/>
      <c r="P431" s="29"/>
      <c r="Q431" s="29"/>
      <c r="S431" s="29"/>
      <c r="T431" s="29"/>
      <c r="V431" s="29"/>
      <c r="X431" s="29"/>
      <c r="Y431" s="29"/>
      <c r="Z431" s="29"/>
    </row>
    <row r="432" spans="1:26" ht="15" thickBot="1">
      <c r="A432" s="32" t="s">
        <v>354</v>
      </c>
      <c r="B432" s="29" t="s">
        <v>280</v>
      </c>
      <c r="C432" s="29" t="s">
        <v>274</v>
      </c>
      <c r="D432" s="29" t="s">
        <v>232</v>
      </c>
      <c r="E432" s="29" t="s">
        <v>6</v>
      </c>
      <c r="F432" s="29" t="s">
        <v>259</v>
      </c>
      <c r="G432" s="29" t="s">
        <v>298</v>
      </c>
      <c r="H432" s="32">
        <v>12</v>
      </c>
      <c r="I432" s="32">
        <v>2489.14</v>
      </c>
      <c r="J432" s="32">
        <v>29869.68</v>
      </c>
      <c r="K432" s="29"/>
      <c r="M432" s="29"/>
      <c r="N432" s="29"/>
      <c r="P432" s="29"/>
      <c r="Q432" s="29"/>
      <c r="S432" s="29"/>
      <c r="T432" s="29"/>
      <c r="V432" s="29"/>
      <c r="X432" s="29"/>
      <c r="Y432" s="29"/>
      <c r="Z432" s="29"/>
    </row>
    <row r="433" spans="1:26" ht="15" thickBot="1">
      <c r="A433" s="32" t="s">
        <v>380</v>
      </c>
      <c r="B433" s="29" t="s">
        <v>268</v>
      </c>
      <c r="C433" s="29" t="s">
        <v>241</v>
      </c>
      <c r="D433" s="29" t="s">
        <v>242</v>
      </c>
      <c r="E433" s="29" t="s">
        <v>8</v>
      </c>
      <c r="F433" s="29" t="s">
        <v>245</v>
      </c>
      <c r="G433" s="29" t="s">
        <v>295</v>
      </c>
      <c r="H433" s="32">
        <v>14</v>
      </c>
      <c r="I433" s="32">
        <v>1729.16</v>
      </c>
      <c r="J433" s="32">
        <v>24208.240000000002</v>
      </c>
      <c r="K433" s="29"/>
      <c r="M433" s="29"/>
      <c r="N433" s="29"/>
      <c r="P433" s="29"/>
      <c r="Q433" s="29"/>
      <c r="S433" s="29"/>
      <c r="T433" s="29"/>
      <c r="V433" s="29"/>
      <c r="X433" s="29"/>
      <c r="Y433" s="29"/>
      <c r="Z433" s="29"/>
    </row>
    <row r="434" spans="1:26" ht="15" thickBot="1">
      <c r="A434" s="32" t="s">
        <v>434</v>
      </c>
      <c r="B434" s="29" t="s">
        <v>230</v>
      </c>
      <c r="C434" s="29" t="s">
        <v>255</v>
      </c>
      <c r="D434" s="29" t="s">
        <v>237</v>
      </c>
      <c r="E434" s="29" t="s">
        <v>8</v>
      </c>
      <c r="F434" s="29" t="s">
        <v>238</v>
      </c>
      <c r="G434" s="29" t="s">
        <v>296</v>
      </c>
      <c r="H434" s="32">
        <v>2</v>
      </c>
      <c r="I434" s="32">
        <v>2789.92</v>
      </c>
      <c r="J434" s="32">
        <v>5579.84</v>
      </c>
      <c r="K434" s="29"/>
      <c r="M434" s="29"/>
      <c r="N434" s="29"/>
      <c r="P434" s="29"/>
      <c r="Q434" s="29"/>
      <c r="S434" s="29"/>
      <c r="T434" s="29"/>
      <c r="V434" s="29"/>
      <c r="X434" s="29"/>
      <c r="Y434" s="29"/>
      <c r="Z434" s="29"/>
    </row>
    <row r="435" spans="1:26" ht="15" thickBot="1">
      <c r="A435" s="32" t="s">
        <v>318</v>
      </c>
      <c r="B435" s="29" t="s">
        <v>260</v>
      </c>
      <c r="C435" s="29" t="s">
        <v>258</v>
      </c>
      <c r="D435" s="29" t="s">
        <v>242</v>
      </c>
      <c r="E435" s="29" t="s">
        <v>8</v>
      </c>
      <c r="F435" s="29" t="s">
        <v>245</v>
      </c>
      <c r="G435" s="29" t="s">
        <v>246</v>
      </c>
      <c r="H435" s="32">
        <v>17</v>
      </c>
      <c r="I435" s="32">
        <v>3244.79</v>
      </c>
      <c r="J435" s="32">
        <v>55161.43</v>
      </c>
      <c r="K435" s="29"/>
      <c r="M435" s="29"/>
      <c r="N435" s="29"/>
      <c r="P435" s="29"/>
      <c r="Q435" s="29"/>
      <c r="S435" s="29"/>
      <c r="T435" s="29"/>
      <c r="V435" s="29"/>
      <c r="X435" s="29"/>
      <c r="Y435" s="29"/>
      <c r="Z435" s="29"/>
    </row>
    <row r="436" spans="1:26" ht="15" thickBot="1">
      <c r="A436" s="32" t="s">
        <v>359</v>
      </c>
      <c r="B436" s="29" t="s">
        <v>240</v>
      </c>
      <c r="C436" s="29" t="s">
        <v>283</v>
      </c>
      <c r="D436" s="29" t="s">
        <v>242</v>
      </c>
      <c r="E436" s="29" t="s">
        <v>8</v>
      </c>
      <c r="F436" s="29" t="s">
        <v>238</v>
      </c>
      <c r="G436" s="29" t="s">
        <v>239</v>
      </c>
      <c r="H436" s="32">
        <v>20</v>
      </c>
      <c r="I436" s="32">
        <v>2155.17</v>
      </c>
      <c r="J436" s="32">
        <v>43103.4</v>
      </c>
      <c r="K436" s="29"/>
      <c r="M436" s="29"/>
      <c r="N436" s="29"/>
      <c r="P436" s="29"/>
      <c r="Q436" s="29"/>
      <c r="S436" s="29"/>
      <c r="T436" s="29"/>
      <c r="V436" s="29"/>
      <c r="X436" s="29"/>
      <c r="Y436" s="29"/>
      <c r="Z436" s="29"/>
    </row>
    <row r="437" spans="1:26" ht="15" thickBot="1">
      <c r="A437" s="49">
        <v>45145</v>
      </c>
      <c r="B437" s="29" t="s">
        <v>271</v>
      </c>
      <c r="C437" s="29" t="s">
        <v>236</v>
      </c>
      <c r="D437" s="29" t="s">
        <v>237</v>
      </c>
      <c r="E437" s="29" t="s">
        <v>8</v>
      </c>
      <c r="F437" s="29" t="s">
        <v>250</v>
      </c>
      <c r="G437" s="29" t="s">
        <v>284</v>
      </c>
      <c r="H437" s="32">
        <v>13</v>
      </c>
      <c r="I437" s="32">
        <v>2526.1999999999998</v>
      </c>
      <c r="J437" s="32">
        <v>32840.6</v>
      </c>
      <c r="K437" s="29"/>
      <c r="M437" s="29"/>
      <c r="N437" s="29"/>
      <c r="P437" s="29"/>
      <c r="Q437" s="29"/>
      <c r="S437" s="29"/>
      <c r="T437" s="29"/>
      <c r="V437" s="29"/>
      <c r="X437" s="29"/>
      <c r="Y437" s="29"/>
      <c r="Z437" s="29"/>
    </row>
    <row r="438" spans="1:26" ht="15" thickBot="1">
      <c r="A438" s="32" t="s">
        <v>297</v>
      </c>
      <c r="B438" s="29" t="s">
        <v>260</v>
      </c>
      <c r="C438" s="29" t="s">
        <v>244</v>
      </c>
      <c r="D438" s="29" t="s">
        <v>237</v>
      </c>
      <c r="E438" s="29" t="s">
        <v>8</v>
      </c>
      <c r="F438" s="29" t="s">
        <v>259</v>
      </c>
      <c r="G438" s="29" t="s">
        <v>182</v>
      </c>
      <c r="H438" s="32">
        <v>11</v>
      </c>
      <c r="I438" s="32">
        <v>1995.21</v>
      </c>
      <c r="J438" s="32">
        <v>21947.31</v>
      </c>
      <c r="K438" s="29"/>
      <c r="M438" s="29"/>
      <c r="N438" s="29"/>
      <c r="P438" s="29"/>
      <c r="Q438" s="29"/>
      <c r="S438" s="29"/>
      <c r="T438" s="29"/>
      <c r="V438" s="29"/>
      <c r="X438" s="29"/>
      <c r="Y438" s="29"/>
      <c r="Z438" s="29"/>
    </row>
    <row r="439" spans="1:26" ht="15" thickBot="1">
      <c r="A439" s="49">
        <v>45232</v>
      </c>
      <c r="B439" s="29" t="s">
        <v>271</v>
      </c>
      <c r="C439" s="29" t="s">
        <v>261</v>
      </c>
      <c r="D439" s="29" t="s">
        <v>247</v>
      </c>
      <c r="E439" s="29" t="s">
        <v>6</v>
      </c>
      <c r="F439" s="29" t="s">
        <v>238</v>
      </c>
      <c r="G439" s="29" t="s">
        <v>239</v>
      </c>
      <c r="H439" s="32">
        <v>4</v>
      </c>
      <c r="I439" s="32">
        <v>1139.74</v>
      </c>
      <c r="J439" s="32">
        <v>4558.96</v>
      </c>
      <c r="K439" s="29"/>
      <c r="M439" s="29"/>
      <c r="N439" s="29"/>
      <c r="P439" s="29"/>
      <c r="Q439" s="29"/>
      <c r="S439" s="29"/>
      <c r="T439" s="29"/>
      <c r="V439" s="29"/>
      <c r="X439" s="29"/>
      <c r="Y439" s="29"/>
      <c r="Z439" s="29"/>
    </row>
    <row r="440" spans="1:26" ht="15" thickBot="1">
      <c r="A440" s="32" t="s">
        <v>391</v>
      </c>
      <c r="B440" s="29" t="s">
        <v>280</v>
      </c>
      <c r="C440" s="29" t="s">
        <v>281</v>
      </c>
      <c r="D440" s="29" t="s">
        <v>252</v>
      </c>
      <c r="E440" s="29" t="s">
        <v>5</v>
      </c>
      <c r="F440" s="29" t="s">
        <v>233</v>
      </c>
      <c r="G440" s="29" t="s">
        <v>301</v>
      </c>
      <c r="H440" s="32">
        <v>4</v>
      </c>
      <c r="I440" s="32">
        <v>3015.93</v>
      </c>
      <c r="J440" s="32">
        <v>12063.72</v>
      </c>
      <c r="K440" s="29"/>
      <c r="M440" s="29"/>
      <c r="N440" s="29"/>
      <c r="P440" s="29"/>
      <c r="Q440" s="29"/>
      <c r="S440" s="29"/>
      <c r="T440" s="29"/>
      <c r="V440" s="29"/>
      <c r="X440" s="29"/>
      <c r="Y440" s="29"/>
      <c r="Z440" s="29"/>
    </row>
    <row r="441" spans="1:26" ht="15" thickBot="1">
      <c r="A441" s="49">
        <v>45203</v>
      </c>
      <c r="B441" s="29" t="s">
        <v>271</v>
      </c>
      <c r="C441" s="29" t="s">
        <v>255</v>
      </c>
      <c r="D441" s="29" t="s">
        <v>237</v>
      </c>
      <c r="E441" s="29" t="s">
        <v>8</v>
      </c>
      <c r="F441" s="29" t="s">
        <v>245</v>
      </c>
      <c r="G441" s="29" t="s">
        <v>266</v>
      </c>
      <c r="H441" s="32">
        <v>4</v>
      </c>
      <c r="I441" s="32">
        <v>3831.39</v>
      </c>
      <c r="J441" s="32">
        <v>15325.56</v>
      </c>
      <c r="K441" s="29"/>
      <c r="M441" s="29"/>
      <c r="N441" s="29"/>
      <c r="P441" s="29"/>
      <c r="Q441" s="29"/>
      <c r="S441" s="29"/>
      <c r="T441" s="29"/>
      <c r="V441" s="29"/>
      <c r="X441" s="29"/>
      <c r="Y441" s="29"/>
      <c r="Z441" s="29"/>
    </row>
    <row r="442" spans="1:26" ht="15" thickBot="1">
      <c r="A442" s="32" t="s">
        <v>343</v>
      </c>
      <c r="B442" s="29" t="s">
        <v>230</v>
      </c>
      <c r="C442" s="29" t="s">
        <v>249</v>
      </c>
      <c r="D442" s="29" t="s">
        <v>232</v>
      </c>
      <c r="E442" s="29" t="s">
        <v>6</v>
      </c>
      <c r="F442" s="29" t="s">
        <v>245</v>
      </c>
      <c r="G442" s="29" t="s">
        <v>246</v>
      </c>
      <c r="H442" s="32">
        <v>7</v>
      </c>
      <c r="I442" s="32">
        <v>105.05</v>
      </c>
      <c r="J442" s="32">
        <v>735.35</v>
      </c>
      <c r="K442" s="29"/>
      <c r="M442" s="29"/>
      <c r="N442" s="29"/>
      <c r="P442" s="29"/>
      <c r="Q442" s="29"/>
      <c r="S442" s="29"/>
      <c r="T442" s="29"/>
      <c r="V442" s="29"/>
      <c r="X442" s="29"/>
      <c r="Y442" s="29"/>
      <c r="Z442" s="29"/>
    </row>
    <row r="443" spans="1:26" ht="15" thickBot="1">
      <c r="A443" s="49">
        <v>44992</v>
      </c>
      <c r="B443" s="29" t="s">
        <v>235</v>
      </c>
      <c r="C443" s="29" t="s">
        <v>261</v>
      </c>
      <c r="D443" s="29" t="s">
        <v>247</v>
      </c>
      <c r="E443" s="29" t="s">
        <v>6</v>
      </c>
      <c r="F443" s="29" t="s">
        <v>238</v>
      </c>
      <c r="G443" s="29" t="s">
        <v>296</v>
      </c>
      <c r="H443" s="32">
        <v>11</v>
      </c>
      <c r="I443" s="32">
        <v>2416.1799999999998</v>
      </c>
      <c r="J443" s="32">
        <v>26577.98</v>
      </c>
      <c r="K443" s="29"/>
      <c r="M443" s="29"/>
      <c r="N443" s="29"/>
      <c r="P443" s="29"/>
      <c r="Q443" s="29"/>
      <c r="S443" s="29"/>
      <c r="T443" s="29"/>
      <c r="V443" s="29"/>
      <c r="X443" s="29"/>
      <c r="Y443" s="29"/>
      <c r="Z443" s="29"/>
    </row>
    <row r="444" spans="1:26" ht="15" thickBot="1">
      <c r="A444" s="32" t="s">
        <v>435</v>
      </c>
      <c r="B444" s="29" t="s">
        <v>257</v>
      </c>
      <c r="C444" s="29" t="s">
        <v>261</v>
      </c>
      <c r="D444" s="29" t="s">
        <v>247</v>
      </c>
      <c r="E444" s="29" t="s">
        <v>6</v>
      </c>
      <c r="F444" s="29" t="s">
        <v>238</v>
      </c>
      <c r="G444" s="29" t="s">
        <v>296</v>
      </c>
      <c r="H444" s="32">
        <v>1</v>
      </c>
      <c r="I444" s="32">
        <v>549.14</v>
      </c>
      <c r="J444" s="32">
        <v>549.14</v>
      </c>
      <c r="K444" s="29"/>
      <c r="M444" s="29"/>
      <c r="N444" s="29"/>
      <c r="P444" s="29"/>
      <c r="Q444" s="29"/>
      <c r="S444" s="29"/>
      <c r="T444" s="29"/>
      <c r="V444" s="29"/>
      <c r="X444" s="29"/>
      <c r="Y444" s="29"/>
      <c r="Z444" s="29"/>
    </row>
    <row r="445" spans="1:26" ht="15" thickBot="1">
      <c r="A445" s="32" t="s">
        <v>361</v>
      </c>
      <c r="B445" s="29" t="s">
        <v>257</v>
      </c>
      <c r="C445" s="29" t="s">
        <v>244</v>
      </c>
      <c r="D445" s="29" t="s">
        <v>237</v>
      </c>
      <c r="E445" s="29" t="s">
        <v>8</v>
      </c>
      <c r="F445" s="29" t="s">
        <v>250</v>
      </c>
      <c r="G445" s="29" t="s">
        <v>251</v>
      </c>
      <c r="H445" s="32">
        <v>10</v>
      </c>
      <c r="I445" s="32">
        <v>3771.5</v>
      </c>
      <c r="J445" s="32">
        <v>37715</v>
      </c>
      <c r="K445" s="29"/>
      <c r="M445" s="29"/>
      <c r="N445" s="29"/>
      <c r="P445" s="29"/>
      <c r="Q445" s="29"/>
      <c r="S445" s="29"/>
      <c r="T445" s="29"/>
      <c r="V445" s="29"/>
      <c r="X445" s="29"/>
      <c r="Y445" s="29"/>
      <c r="Z445" s="29"/>
    </row>
    <row r="446" spans="1:26" ht="15" thickBot="1">
      <c r="A446" s="32" t="s">
        <v>431</v>
      </c>
      <c r="B446" s="29" t="s">
        <v>235</v>
      </c>
      <c r="C446" s="29" t="s">
        <v>261</v>
      </c>
      <c r="D446" s="29" t="s">
        <v>247</v>
      </c>
      <c r="E446" s="29" t="s">
        <v>6</v>
      </c>
      <c r="F446" s="29" t="s">
        <v>233</v>
      </c>
      <c r="G446" s="29" t="s">
        <v>301</v>
      </c>
      <c r="H446" s="32">
        <v>13</v>
      </c>
      <c r="I446" s="32">
        <v>956.49</v>
      </c>
      <c r="J446" s="32">
        <v>12434.37</v>
      </c>
      <c r="K446" s="29"/>
      <c r="M446" s="29"/>
      <c r="N446" s="29"/>
      <c r="P446" s="29"/>
      <c r="Q446" s="29"/>
      <c r="S446" s="29"/>
      <c r="T446" s="29"/>
      <c r="V446" s="29"/>
      <c r="X446" s="29"/>
      <c r="Y446" s="29"/>
      <c r="Z446" s="29"/>
    </row>
    <row r="447" spans="1:26" ht="15" thickBot="1">
      <c r="A447" s="32" t="s">
        <v>345</v>
      </c>
      <c r="B447" s="29" t="s">
        <v>240</v>
      </c>
      <c r="C447" s="29" t="s">
        <v>241</v>
      </c>
      <c r="D447" s="29" t="s">
        <v>242</v>
      </c>
      <c r="E447" s="29" t="s">
        <v>8</v>
      </c>
      <c r="F447" s="29" t="s">
        <v>233</v>
      </c>
      <c r="G447" s="29" t="s">
        <v>287</v>
      </c>
      <c r="H447" s="32">
        <v>19</v>
      </c>
      <c r="I447" s="32">
        <v>3575.92</v>
      </c>
      <c r="J447" s="32">
        <v>67942.48</v>
      </c>
      <c r="K447" s="29"/>
      <c r="M447" s="29"/>
      <c r="N447" s="29"/>
      <c r="P447" s="29"/>
      <c r="Q447" s="29"/>
      <c r="S447" s="29"/>
      <c r="T447" s="29"/>
      <c r="V447" s="29"/>
      <c r="X447" s="29"/>
      <c r="Y447" s="29"/>
      <c r="Z447" s="29"/>
    </row>
    <row r="448" spans="1:26" ht="15" thickBot="1">
      <c r="A448" s="32" t="s">
        <v>323</v>
      </c>
      <c r="B448" s="29" t="s">
        <v>271</v>
      </c>
      <c r="C448" s="29" t="s">
        <v>276</v>
      </c>
      <c r="D448" s="29" t="s">
        <v>247</v>
      </c>
      <c r="E448" s="29" t="s">
        <v>6</v>
      </c>
      <c r="F448" s="29" t="s">
        <v>259</v>
      </c>
      <c r="G448" s="29" t="s">
        <v>298</v>
      </c>
      <c r="H448" s="32">
        <v>8</v>
      </c>
      <c r="I448" s="32">
        <v>3971.12</v>
      </c>
      <c r="J448" s="32">
        <v>31768.959999999999</v>
      </c>
      <c r="K448" s="29"/>
      <c r="M448" s="29"/>
      <c r="N448" s="29"/>
      <c r="P448" s="29"/>
      <c r="Q448" s="29"/>
      <c r="S448" s="29"/>
      <c r="T448" s="29"/>
      <c r="V448" s="29"/>
      <c r="X448" s="29"/>
      <c r="Y448" s="29"/>
      <c r="Z448" s="29"/>
    </row>
    <row r="449" spans="1:26" ht="15" thickBot="1">
      <c r="A449" s="32" t="s">
        <v>419</v>
      </c>
      <c r="B449" s="29" t="s">
        <v>254</v>
      </c>
      <c r="C449" s="29" t="s">
        <v>244</v>
      </c>
      <c r="D449" s="29" t="s">
        <v>237</v>
      </c>
      <c r="E449" s="29" t="s">
        <v>8</v>
      </c>
      <c r="F449" s="29" t="s">
        <v>245</v>
      </c>
      <c r="G449" s="29" t="s">
        <v>269</v>
      </c>
      <c r="H449" s="32">
        <v>14</v>
      </c>
      <c r="I449" s="32">
        <v>3631.62</v>
      </c>
      <c r="J449" s="32">
        <v>50842.68</v>
      </c>
      <c r="K449" s="29"/>
      <c r="M449" s="29"/>
      <c r="N449" s="29"/>
      <c r="P449" s="29"/>
      <c r="Q449" s="29"/>
      <c r="S449" s="29"/>
      <c r="T449" s="29"/>
      <c r="V449" s="29"/>
      <c r="X449" s="29"/>
      <c r="Y449" s="29"/>
      <c r="Z449" s="29"/>
    </row>
    <row r="450" spans="1:26" ht="15" thickBot="1">
      <c r="A450" s="49">
        <v>44931</v>
      </c>
      <c r="B450" s="29" t="s">
        <v>268</v>
      </c>
      <c r="C450" s="29" t="s">
        <v>231</v>
      </c>
      <c r="D450" s="29" t="s">
        <v>232</v>
      </c>
      <c r="E450" s="29" t="s">
        <v>6</v>
      </c>
      <c r="F450" s="29" t="s">
        <v>233</v>
      </c>
      <c r="G450" s="29" t="s">
        <v>287</v>
      </c>
      <c r="H450" s="32">
        <v>18</v>
      </c>
      <c r="I450" s="32">
        <v>2589.64</v>
      </c>
      <c r="J450" s="32">
        <v>46613.52</v>
      </c>
      <c r="K450" s="29"/>
      <c r="M450" s="29"/>
      <c r="N450" s="29"/>
      <c r="P450" s="29"/>
      <c r="Q450" s="29"/>
      <c r="S450" s="29"/>
      <c r="T450" s="29"/>
      <c r="V450" s="29"/>
      <c r="X450" s="29"/>
      <c r="Y450" s="29"/>
      <c r="Z450" s="29"/>
    </row>
    <row r="451" spans="1:26" ht="15" thickBot="1">
      <c r="A451" s="49">
        <v>45025</v>
      </c>
      <c r="B451" s="29" t="s">
        <v>254</v>
      </c>
      <c r="C451" s="29" t="s">
        <v>276</v>
      </c>
      <c r="D451" s="29" t="s">
        <v>247</v>
      </c>
      <c r="E451" s="29" t="s">
        <v>6</v>
      </c>
      <c r="F451" s="29" t="s">
        <v>250</v>
      </c>
      <c r="G451" s="29" t="s">
        <v>284</v>
      </c>
      <c r="H451" s="32">
        <v>2</v>
      </c>
      <c r="I451" s="32">
        <v>2713.34</v>
      </c>
      <c r="J451" s="32">
        <v>5426.68</v>
      </c>
      <c r="K451" s="29"/>
      <c r="M451" s="29"/>
      <c r="N451" s="29"/>
      <c r="P451" s="29"/>
      <c r="Q451" s="29"/>
      <c r="S451" s="29"/>
      <c r="T451" s="29"/>
      <c r="V451" s="29"/>
      <c r="X451" s="29"/>
      <c r="Y451" s="29"/>
      <c r="Z451" s="29"/>
    </row>
    <row r="452" spans="1:26" ht="15" thickBot="1">
      <c r="A452" s="32" t="s">
        <v>331</v>
      </c>
      <c r="B452" s="29" t="s">
        <v>257</v>
      </c>
      <c r="C452" s="29" t="s">
        <v>241</v>
      </c>
      <c r="D452" s="29" t="s">
        <v>242</v>
      </c>
      <c r="E452" s="29" t="s">
        <v>8</v>
      </c>
      <c r="F452" s="29" t="s">
        <v>238</v>
      </c>
      <c r="G452" s="29" t="s">
        <v>239</v>
      </c>
      <c r="H452" s="32">
        <v>17</v>
      </c>
      <c r="I452" s="32">
        <v>1294.56</v>
      </c>
      <c r="J452" s="32">
        <v>22007.52</v>
      </c>
      <c r="K452" s="29"/>
      <c r="M452" s="29"/>
      <c r="N452" s="29"/>
      <c r="P452" s="29"/>
      <c r="Q452" s="29"/>
      <c r="S452" s="29"/>
      <c r="T452" s="29"/>
      <c r="V452" s="29"/>
      <c r="X452" s="29"/>
      <c r="Y452" s="29"/>
      <c r="Z452" s="29"/>
    </row>
    <row r="453" spans="1:26" ht="15" thickBot="1">
      <c r="A453" s="32" t="s">
        <v>325</v>
      </c>
      <c r="B453" s="29" t="s">
        <v>254</v>
      </c>
      <c r="C453" s="29" t="s">
        <v>313</v>
      </c>
      <c r="D453" s="29" t="s">
        <v>252</v>
      </c>
      <c r="E453" s="29" t="s">
        <v>5</v>
      </c>
      <c r="F453" s="29" t="s">
        <v>238</v>
      </c>
      <c r="G453" s="29" t="s">
        <v>239</v>
      </c>
      <c r="H453" s="32">
        <v>8</v>
      </c>
      <c r="I453" s="32">
        <v>1171.53</v>
      </c>
      <c r="J453" s="32">
        <v>9372.24</v>
      </c>
      <c r="K453" s="29"/>
      <c r="M453" s="29"/>
      <c r="N453" s="29"/>
      <c r="P453" s="29"/>
      <c r="Q453" s="29"/>
      <c r="S453" s="29"/>
      <c r="T453" s="29"/>
      <c r="V453" s="29"/>
      <c r="X453" s="29"/>
      <c r="Y453" s="29"/>
      <c r="Z453" s="29"/>
    </row>
    <row r="454" spans="1:26" ht="15" thickBot="1">
      <c r="A454" s="32" t="s">
        <v>376</v>
      </c>
      <c r="B454" s="29" t="s">
        <v>268</v>
      </c>
      <c r="C454" s="29" t="s">
        <v>273</v>
      </c>
      <c r="D454" s="29" t="s">
        <v>252</v>
      </c>
      <c r="E454" s="29" t="s">
        <v>5</v>
      </c>
      <c r="F454" s="29" t="s">
        <v>245</v>
      </c>
      <c r="G454" s="29" t="s">
        <v>295</v>
      </c>
      <c r="H454" s="32">
        <v>15</v>
      </c>
      <c r="I454" s="32">
        <v>4060.63</v>
      </c>
      <c r="J454" s="32">
        <v>60909.45</v>
      </c>
      <c r="K454" s="29"/>
      <c r="M454" s="29"/>
      <c r="N454" s="29"/>
      <c r="P454" s="29"/>
      <c r="Q454" s="29"/>
      <c r="S454" s="29"/>
      <c r="T454" s="29"/>
      <c r="V454" s="29"/>
      <c r="X454" s="29"/>
      <c r="Y454" s="29"/>
      <c r="Z454" s="29"/>
    </row>
    <row r="455" spans="1:26" ht="15" thickBot="1">
      <c r="A455" s="49">
        <v>45264</v>
      </c>
      <c r="B455" s="29" t="s">
        <v>257</v>
      </c>
      <c r="C455" s="29" t="s">
        <v>231</v>
      </c>
      <c r="D455" s="29" t="s">
        <v>232</v>
      </c>
      <c r="E455" s="29" t="s">
        <v>6</v>
      </c>
      <c r="F455" s="29" t="s">
        <v>250</v>
      </c>
      <c r="G455" s="29" t="s">
        <v>251</v>
      </c>
      <c r="H455" s="32">
        <v>4</v>
      </c>
      <c r="I455" s="32">
        <v>442.23</v>
      </c>
      <c r="J455" s="32">
        <v>1768.92</v>
      </c>
      <c r="K455" s="29"/>
      <c r="M455" s="29"/>
      <c r="N455" s="29"/>
      <c r="P455" s="29"/>
      <c r="Q455" s="29"/>
      <c r="S455" s="29"/>
      <c r="T455" s="29"/>
      <c r="V455" s="29"/>
      <c r="X455" s="29"/>
      <c r="Y455" s="29"/>
      <c r="Z455" s="29"/>
    </row>
    <row r="456" spans="1:26" ht="15" thickBot="1">
      <c r="A456" s="32" t="s">
        <v>294</v>
      </c>
      <c r="B456" s="29" t="s">
        <v>268</v>
      </c>
      <c r="C456" s="29" t="s">
        <v>231</v>
      </c>
      <c r="D456" s="29" t="s">
        <v>232</v>
      </c>
      <c r="E456" s="29" t="s">
        <v>6</v>
      </c>
      <c r="F456" s="29" t="s">
        <v>238</v>
      </c>
      <c r="G456" s="29" t="s">
        <v>256</v>
      </c>
      <c r="H456" s="32">
        <v>5</v>
      </c>
      <c r="I456" s="32">
        <v>3725.36</v>
      </c>
      <c r="J456" s="32">
        <v>18626.8</v>
      </c>
      <c r="K456" s="29"/>
      <c r="M456" s="29"/>
      <c r="N456" s="29"/>
      <c r="P456" s="29"/>
      <c r="Q456" s="29"/>
      <c r="S456" s="29"/>
      <c r="T456" s="29"/>
      <c r="V456" s="29"/>
      <c r="X456" s="29"/>
      <c r="Y456" s="29"/>
      <c r="Z456" s="29"/>
    </row>
    <row r="457" spans="1:26" ht="15" thickBot="1">
      <c r="A457" s="32" t="s">
        <v>432</v>
      </c>
      <c r="B457" s="29" t="s">
        <v>268</v>
      </c>
      <c r="C457" s="29" t="s">
        <v>261</v>
      </c>
      <c r="D457" s="29" t="s">
        <v>247</v>
      </c>
      <c r="E457" s="29" t="s">
        <v>6</v>
      </c>
      <c r="F457" s="29" t="s">
        <v>245</v>
      </c>
      <c r="G457" s="29" t="s">
        <v>246</v>
      </c>
      <c r="H457" s="32">
        <v>20</v>
      </c>
      <c r="I457" s="32">
        <v>2974.89</v>
      </c>
      <c r="J457" s="32">
        <v>59497.8</v>
      </c>
      <c r="K457" s="29"/>
      <c r="M457" s="29"/>
      <c r="N457" s="29"/>
      <c r="P457" s="29"/>
      <c r="Q457" s="29"/>
      <c r="S457" s="29"/>
      <c r="T457" s="29"/>
      <c r="V457" s="29"/>
      <c r="X457" s="29"/>
      <c r="Y457" s="29"/>
      <c r="Z457" s="29"/>
    </row>
    <row r="458" spans="1:26" ht="15" thickBot="1">
      <c r="A458" s="49">
        <v>44992</v>
      </c>
      <c r="B458" s="29" t="s">
        <v>268</v>
      </c>
      <c r="C458" s="29" t="s">
        <v>244</v>
      </c>
      <c r="D458" s="29" t="s">
        <v>237</v>
      </c>
      <c r="E458" s="29" t="s">
        <v>8</v>
      </c>
      <c r="F458" s="29" t="s">
        <v>245</v>
      </c>
      <c r="G458" s="29" t="s">
        <v>295</v>
      </c>
      <c r="H458" s="32">
        <v>1</v>
      </c>
      <c r="I458" s="32">
        <v>1717.6</v>
      </c>
      <c r="J458" s="32">
        <v>1717.6</v>
      </c>
      <c r="K458" s="29"/>
      <c r="M458" s="29"/>
      <c r="N458" s="29"/>
      <c r="P458" s="29"/>
      <c r="Q458" s="29"/>
      <c r="S458" s="29"/>
      <c r="T458" s="29"/>
      <c r="V458" s="29"/>
      <c r="X458" s="29"/>
      <c r="Y458" s="29"/>
      <c r="Z458" s="29"/>
    </row>
    <row r="459" spans="1:26" ht="15" thickBot="1">
      <c r="A459" s="49">
        <v>45080</v>
      </c>
      <c r="B459" s="29" t="s">
        <v>260</v>
      </c>
      <c r="C459" s="29" t="s">
        <v>313</v>
      </c>
      <c r="D459" s="29" t="s">
        <v>252</v>
      </c>
      <c r="E459" s="29" t="s">
        <v>5</v>
      </c>
      <c r="F459" s="29" t="s">
        <v>233</v>
      </c>
      <c r="G459" s="29" t="s">
        <v>304</v>
      </c>
      <c r="H459" s="32">
        <v>5</v>
      </c>
      <c r="I459" s="32">
        <v>2849.56</v>
      </c>
      <c r="J459" s="32">
        <v>14247.8</v>
      </c>
      <c r="K459" s="29"/>
      <c r="M459" s="29"/>
      <c r="N459" s="29"/>
      <c r="P459" s="29"/>
      <c r="Q459" s="29"/>
      <c r="S459" s="29"/>
      <c r="T459" s="29"/>
      <c r="V459" s="29"/>
      <c r="X459" s="29"/>
      <c r="Y459" s="29"/>
      <c r="Z459" s="29"/>
    </row>
    <row r="460" spans="1:26" ht="15" thickBot="1">
      <c r="A460" s="32" t="s">
        <v>309</v>
      </c>
      <c r="B460" s="29" t="s">
        <v>230</v>
      </c>
      <c r="C460" s="29" t="s">
        <v>276</v>
      </c>
      <c r="D460" s="29" t="s">
        <v>247</v>
      </c>
      <c r="E460" s="29" t="s">
        <v>6</v>
      </c>
      <c r="F460" s="29" t="s">
        <v>238</v>
      </c>
      <c r="G460" s="29" t="s">
        <v>239</v>
      </c>
      <c r="H460" s="32">
        <v>18</v>
      </c>
      <c r="I460" s="32">
        <v>4150.7700000000004</v>
      </c>
      <c r="J460" s="32">
        <v>74713.86</v>
      </c>
      <c r="K460" s="29"/>
      <c r="M460" s="29"/>
      <c r="N460" s="29"/>
      <c r="P460" s="29"/>
      <c r="Q460" s="29"/>
      <c r="S460" s="29"/>
      <c r="T460" s="29"/>
      <c r="V460" s="29"/>
      <c r="X460" s="29"/>
      <c r="Y460" s="29"/>
      <c r="Z460" s="29"/>
    </row>
    <row r="461" spans="1:26" ht="15" thickBot="1">
      <c r="A461" s="32" t="s">
        <v>436</v>
      </c>
      <c r="B461" s="29" t="s">
        <v>260</v>
      </c>
      <c r="C461" s="29" t="s">
        <v>274</v>
      </c>
      <c r="D461" s="29" t="s">
        <v>232</v>
      </c>
      <c r="E461" s="29" t="s">
        <v>6</v>
      </c>
      <c r="F461" s="29" t="s">
        <v>238</v>
      </c>
      <c r="G461" s="29" t="s">
        <v>303</v>
      </c>
      <c r="H461" s="32">
        <v>18</v>
      </c>
      <c r="I461" s="32">
        <v>2490.14</v>
      </c>
      <c r="J461" s="32">
        <v>44822.52</v>
      </c>
      <c r="K461" s="29"/>
      <c r="M461" s="29"/>
      <c r="N461" s="29"/>
      <c r="P461" s="29"/>
      <c r="Q461" s="29"/>
      <c r="S461" s="29"/>
      <c r="T461" s="29"/>
      <c r="V461" s="29"/>
      <c r="X461" s="29"/>
      <c r="Y461" s="29"/>
      <c r="Z461" s="29"/>
    </row>
    <row r="462" spans="1:26" ht="15" thickBot="1">
      <c r="A462" s="32" t="s">
        <v>358</v>
      </c>
      <c r="B462" s="29" t="s">
        <v>260</v>
      </c>
      <c r="C462" s="29" t="s">
        <v>281</v>
      </c>
      <c r="D462" s="29" t="s">
        <v>252</v>
      </c>
      <c r="E462" s="29" t="s">
        <v>5</v>
      </c>
      <c r="F462" s="29" t="s">
        <v>238</v>
      </c>
      <c r="G462" s="29" t="s">
        <v>239</v>
      </c>
      <c r="H462" s="32">
        <v>17</v>
      </c>
      <c r="I462" s="32">
        <v>500.54</v>
      </c>
      <c r="J462" s="32">
        <v>8509.18</v>
      </c>
      <c r="K462" s="29"/>
      <c r="M462" s="29"/>
      <c r="N462" s="29"/>
      <c r="P462" s="29"/>
      <c r="Q462" s="29"/>
      <c r="S462" s="29"/>
      <c r="T462" s="29"/>
      <c r="V462" s="29"/>
      <c r="X462" s="29"/>
      <c r="Y462" s="29"/>
      <c r="Z462" s="29"/>
    </row>
    <row r="463" spans="1:26" ht="15" thickBot="1">
      <c r="A463" s="32" t="s">
        <v>437</v>
      </c>
      <c r="B463" s="29" t="s">
        <v>280</v>
      </c>
      <c r="C463" s="29" t="s">
        <v>273</v>
      </c>
      <c r="D463" s="29" t="s">
        <v>252</v>
      </c>
      <c r="E463" s="29" t="s">
        <v>5</v>
      </c>
      <c r="F463" s="29" t="s">
        <v>259</v>
      </c>
      <c r="G463" s="29" t="s">
        <v>298</v>
      </c>
      <c r="H463" s="32">
        <v>19</v>
      </c>
      <c r="I463" s="32">
        <v>1067.94</v>
      </c>
      <c r="J463" s="32">
        <v>20290.86</v>
      </c>
      <c r="K463" s="29"/>
      <c r="M463" s="29"/>
      <c r="N463" s="29"/>
      <c r="P463" s="29"/>
      <c r="Q463" s="29"/>
      <c r="S463" s="29"/>
      <c r="T463" s="29"/>
      <c r="V463" s="29"/>
      <c r="X463" s="29"/>
      <c r="Y463" s="29"/>
      <c r="Z463" s="29"/>
    </row>
    <row r="464" spans="1:26" ht="15" thickBot="1">
      <c r="A464" s="32" t="s">
        <v>342</v>
      </c>
      <c r="B464" s="29" t="s">
        <v>280</v>
      </c>
      <c r="C464" s="29" t="s">
        <v>283</v>
      </c>
      <c r="D464" s="29" t="s">
        <v>242</v>
      </c>
      <c r="E464" s="29" t="s">
        <v>8</v>
      </c>
      <c r="F464" s="29" t="s">
        <v>250</v>
      </c>
      <c r="G464" s="29" t="s">
        <v>284</v>
      </c>
      <c r="H464" s="32">
        <v>7</v>
      </c>
      <c r="I464" s="32">
        <v>2264.87</v>
      </c>
      <c r="J464" s="32">
        <v>15854.09</v>
      </c>
      <c r="K464" s="29"/>
      <c r="M464" s="29"/>
      <c r="N464" s="29"/>
      <c r="P464" s="29"/>
      <c r="Q464" s="29"/>
      <c r="S464" s="29"/>
      <c r="T464" s="29"/>
      <c r="V464" s="29"/>
      <c r="X464" s="29"/>
      <c r="Y464" s="29"/>
      <c r="Z464" s="29"/>
    </row>
    <row r="465" spans="1:26" ht="15" thickBot="1">
      <c r="A465" s="49">
        <v>45262</v>
      </c>
      <c r="B465" s="29" t="s">
        <v>235</v>
      </c>
      <c r="C465" s="29" t="s">
        <v>281</v>
      </c>
      <c r="D465" s="29" t="s">
        <v>252</v>
      </c>
      <c r="E465" s="29" t="s">
        <v>5</v>
      </c>
      <c r="F465" s="29" t="s">
        <v>250</v>
      </c>
      <c r="G465" s="29" t="s">
        <v>277</v>
      </c>
      <c r="H465" s="32">
        <v>18</v>
      </c>
      <c r="I465" s="32">
        <v>2584.0700000000002</v>
      </c>
      <c r="J465" s="32">
        <v>46513.26</v>
      </c>
      <c r="K465" s="29"/>
      <c r="M465" s="29"/>
      <c r="N465" s="29"/>
      <c r="P465" s="29"/>
      <c r="Q465" s="29"/>
      <c r="S465" s="29"/>
      <c r="T465" s="29"/>
      <c r="V465" s="29"/>
      <c r="X465" s="29"/>
      <c r="Y465" s="29"/>
      <c r="Z465" s="29"/>
    </row>
    <row r="466" spans="1:26" ht="15" thickBot="1">
      <c r="A466" s="32" t="s">
        <v>437</v>
      </c>
      <c r="B466" s="29" t="s">
        <v>280</v>
      </c>
      <c r="C466" s="29" t="s">
        <v>241</v>
      </c>
      <c r="D466" s="29" t="s">
        <v>242</v>
      </c>
      <c r="E466" s="29" t="s">
        <v>8</v>
      </c>
      <c r="F466" s="29" t="s">
        <v>238</v>
      </c>
      <c r="G466" s="29" t="s">
        <v>296</v>
      </c>
      <c r="H466" s="32">
        <v>13</v>
      </c>
      <c r="I466" s="32">
        <v>4621.13</v>
      </c>
      <c r="J466" s="32">
        <v>60074.69</v>
      </c>
      <c r="K466" s="29"/>
      <c r="M466" s="29"/>
      <c r="N466" s="29"/>
      <c r="P466" s="29"/>
      <c r="Q466" s="29"/>
      <c r="S466" s="29"/>
      <c r="T466" s="29"/>
      <c r="V466" s="29"/>
      <c r="X466" s="29"/>
      <c r="Y466" s="29"/>
      <c r="Z466" s="29"/>
    </row>
    <row r="467" spans="1:26" ht="15" thickBot="1">
      <c r="A467" s="49">
        <v>45269</v>
      </c>
      <c r="B467" s="29" t="s">
        <v>235</v>
      </c>
      <c r="C467" s="29" t="s">
        <v>281</v>
      </c>
      <c r="D467" s="29" t="s">
        <v>252</v>
      </c>
      <c r="E467" s="29" t="s">
        <v>5</v>
      </c>
      <c r="F467" s="29" t="s">
        <v>250</v>
      </c>
      <c r="G467" s="29" t="s">
        <v>251</v>
      </c>
      <c r="H467" s="32">
        <v>16</v>
      </c>
      <c r="I467" s="32">
        <v>4826.2</v>
      </c>
      <c r="J467" s="32">
        <v>77219.199999999997</v>
      </c>
      <c r="K467" s="29"/>
      <c r="M467" s="29"/>
      <c r="N467" s="29"/>
      <c r="P467" s="29"/>
      <c r="Q467" s="29"/>
      <c r="S467" s="29"/>
      <c r="T467" s="29"/>
      <c r="V467" s="29"/>
      <c r="X467" s="29"/>
      <c r="Y467" s="29"/>
      <c r="Z467" s="29"/>
    </row>
    <row r="468" spans="1:26" ht="15" thickBot="1">
      <c r="A468" s="49">
        <v>45052</v>
      </c>
      <c r="B468" s="29" t="s">
        <v>254</v>
      </c>
      <c r="C468" s="29" t="s">
        <v>258</v>
      </c>
      <c r="D468" s="29" t="s">
        <v>242</v>
      </c>
      <c r="E468" s="29" t="s">
        <v>8</v>
      </c>
      <c r="F468" s="29" t="s">
        <v>259</v>
      </c>
      <c r="G468" s="29" t="s">
        <v>182</v>
      </c>
      <c r="H468" s="32">
        <v>5</v>
      </c>
      <c r="I468" s="32">
        <v>4773.5600000000004</v>
      </c>
      <c r="J468" s="32">
        <v>23867.8</v>
      </c>
      <c r="K468" s="29"/>
      <c r="M468" s="29"/>
      <c r="N468" s="29"/>
      <c r="P468" s="29"/>
      <c r="Q468" s="29"/>
      <c r="S468" s="29"/>
      <c r="T468" s="29"/>
      <c r="V468" s="29"/>
      <c r="X468" s="29"/>
      <c r="Y468" s="29"/>
      <c r="Z468" s="29"/>
    </row>
    <row r="469" spans="1:26" ht="15" thickBot="1">
      <c r="A469" s="32" t="s">
        <v>340</v>
      </c>
      <c r="B469" s="29" t="s">
        <v>280</v>
      </c>
      <c r="C469" s="29" t="s">
        <v>244</v>
      </c>
      <c r="D469" s="29" t="s">
        <v>237</v>
      </c>
      <c r="E469" s="29" t="s">
        <v>8</v>
      </c>
      <c r="F469" s="29" t="s">
        <v>250</v>
      </c>
      <c r="G469" s="29" t="s">
        <v>284</v>
      </c>
      <c r="H469" s="32">
        <v>9</v>
      </c>
      <c r="I469" s="32">
        <v>3220.44</v>
      </c>
      <c r="J469" s="32">
        <v>28983.96</v>
      </c>
      <c r="K469" s="29"/>
      <c r="M469" s="29"/>
      <c r="N469" s="29"/>
      <c r="P469" s="29"/>
      <c r="Q469" s="29"/>
      <c r="S469" s="29"/>
      <c r="T469" s="29"/>
      <c r="V469" s="29"/>
      <c r="X469" s="29"/>
      <c r="Y469" s="29"/>
      <c r="Z469" s="29"/>
    </row>
    <row r="470" spans="1:26" ht="15" thickBot="1">
      <c r="A470" s="32" t="s">
        <v>405</v>
      </c>
      <c r="B470" s="29" t="s">
        <v>280</v>
      </c>
      <c r="C470" s="29" t="s">
        <v>255</v>
      </c>
      <c r="D470" s="29" t="s">
        <v>237</v>
      </c>
      <c r="E470" s="29" t="s">
        <v>8</v>
      </c>
      <c r="F470" s="29" t="s">
        <v>250</v>
      </c>
      <c r="G470" s="29" t="s">
        <v>277</v>
      </c>
      <c r="H470" s="32">
        <v>15</v>
      </c>
      <c r="I470" s="32">
        <v>4945.79</v>
      </c>
      <c r="J470" s="32">
        <v>74186.850000000006</v>
      </c>
      <c r="K470" s="29"/>
      <c r="M470" s="29"/>
      <c r="N470" s="29"/>
      <c r="P470" s="29"/>
      <c r="Q470" s="29"/>
      <c r="S470" s="29"/>
      <c r="T470" s="29"/>
      <c r="V470" s="29"/>
      <c r="X470" s="29"/>
      <c r="Y470" s="29"/>
      <c r="Z470" s="29"/>
    </row>
    <row r="471" spans="1:26" ht="15" thickBot="1">
      <c r="A471" s="49">
        <v>45140</v>
      </c>
      <c r="B471" s="29" t="s">
        <v>248</v>
      </c>
      <c r="C471" s="29" t="s">
        <v>236</v>
      </c>
      <c r="D471" s="29" t="s">
        <v>237</v>
      </c>
      <c r="E471" s="29" t="s">
        <v>8</v>
      </c>
      <c r="F471" s="29" t="s">
        <v>245</v>
      </c>
      <c r="G471" s="29" t="s">
        <v>295</v>
      </c>
      <c r="H471" s="32">
        <v>14</v>
      </c>
      <c r="I471" s="32">
        <v>2355.56</v>
      </c>
      <c r="J471" s="32">
        <v>32977.839999999997</v>
      </c>
      <c r="K471" s="29"/>
      <c r="M471" s="29"/>
      <c r="N471" s="29"/>
      <c r="P471" s="29"/>
      <c r="Q471" s="29"/>
      <c r="S471" s="29"/>
      <c r="T471" s="29"/>
      <c r="V471" s="29"/>
      <c r="X471" s="29"/>
      <c r="Y471" s="29"/>
      <c r="Z471" s="29"/>
    </row>
    <row r="472" spans="1:26" ht="15" thickBot="1">
      <c r="A472" s="32" t="s">
        <v>288</v>
      </c>
      <c r="B472" s="29" t="s">
        <v>235</v>
      </c>
      <c r="C472" s="29" t="s">
        <v>261</v>
      </c>
      <c r="D472" s="29" t="s">
        <v>247</v>
      </c>
      <c r="E472" s="29" t="s">
        <v>6</v>
      </c>
      <c r="F472" s="29" t="s">
        <v>245</v>
      </c>
      <c r="G472" s="29" t="s">
        <v>266</v>
      </c>
      <c r="H472" s="32">
        <v>4</v>
      </c>
      <c r="I472" s="32">
        <v>4412.41</v>
      </c>
      <c r="J472" s="32">
        <v>17649.64</v>
      </c>
      <c r="K472" s="29"/>
      <c r="M472" s="29"/>
      <c r="N472" s="29"/>
      <c r="P472" s="29"/>
      <c r="Q472" s="29"/>
      <c r="S472" s="29"/>
      <c r="T472" s="29"/>
      <c r="V472" s="29"/>
      <c r="X472" s="29"/>
      <c r="Y472" s="29"/>
      <c r="Z472" s="29"/>
    </row>
    <row r="473" spans="1:26" ht="15" thickBot="1">
      <c r="A473" s="32" t="s">
        <v>356</v>
      </c>
      <c r="B473" s="29" t="s">
        <v>268</v>
      </c>
      <c r="C473" s="29" t="s">
        <v>273</v>
      </c>
      <c r="D473" s="29" t="s">
        <v>252</v>
      </c>
      <c r="E473" s="29" t="s">
        <v>5</v>
      </c>
      <c r="F473" s="29" t="s">
        <v>238</v>
      </c>
      <c r="G473" s="29" t="s">
        <v>296</v>
      </c>
      <c r="H473" s="32">
        <v>5</v>
      </c>
      <c r="I473" s="32">
        <v>355.6</v>
      </c>
      <c r="J473" s="32">
        <v>1778</v>
      </c>
      <c r="K473" s="29"/>
      <c r="M473" s="29"/>
      <c r="N473" s="29"/>
      <c r="P473" s="29"/>
      <c r="Q473" s="29"/>
      <c r="S473" s="29"/>
      <c r="T473" s="29"/>
      <c r="V473" s="29"/>
      <c r="X473" s="29"/>
      <c r="Y473" s="29"/>
      <c r="Z473" s="29"/>
    </row>
    <row r="474" spans="1:26" ht="15" thickBot="1">
      <c r="A474" s="32" t="s">
        <v>396</v>
      </c>
      <c r="B474" s="29" t="s">
        <v>248</v>
      </c>
      <c r="C474" s="29" t="s">
        <v>231</v>
      </c>
      <c r="D474" s="29" t="s">
        <v>232</v>
      </c>
      <c r="E474" s="29" t="s">
        <v>6</v>
      </c>
      <c r="F474" s="29" t="s">
        <v>259</v>
      </c>
      <c r="G474" s="29" t="s">
        <v>179</v>
      </c>
      <c r="H474" s="32">
        <v>12</v>
      </c>
      <c r="I474" s="32">
        <v>4405.1899999999996</v>
      </c>
      <c r="J474" s="32">
        <v>52862.28</v>
      </c>
      <c r="K474" s="29"/>
      <c r="M474" s="29"/>
      <c r="N474" s="29"/>
      <c r="P474" s="29"/>
      <c r="Q474" s="29"/>
      <c r="S474" s="29"/>
      <c r="T474" s="29"/>
      <c r="V474" s="29"/>
      <c r="X474" s="29"/>
      <c r="Y474" s="29"/>
      <c r="Z474" s="29"/>
    </row>
    <row r="475" spans="1:26" ht="15" thickBot="1">
      <c r="A475" s="32" t="s">
        <v>438</v>
      </c>
      <c r="B475" s="29" t="s">
        <v>235</v>
      </c>
      <c r="C475" s="29" t="s">
        <v>313</v>
      </c>
      <c r="D475" s="29" t="s">
        <v>252</v>
      </c>
      <c r="E475" s="29" t="s">
        <v>5</v>
      </c>
      <c r="F475" s="29" t="s">
        <v>250</v>
      </c>
      <c r="G475" s="29" t="s">
        <v>277</v>
      </c>
      <c r="H475" s="32">
        <v>9</v>
      </c>
      <c r="I475" s="32">
        <v>877.89</v>
      </c>
      <c r="J475" s="32">
        <v>7901.01</v>
      </c>
      <c r="K475" s="29"/>
      <c r="M475" s="29"/>
      <c r="N475" s="29"/>
      <c r="P475" s="29"/>
      <c r="Q475" s="29"/>
      <c r="S475" s="29"/>
      <c r="T475" s="29"/>
      <c r="V475" s="29"/>
      <c r="X475" s="29"/>
      <c r="Y475" s="29"/>
      <c r="Z475" s="29"/>
    </row>
    <row r="476" spans="1:26" ht="15" thickBot="1">
      <c r="A476" s="32" t="s">
        <v>439</v>
      </c>
      <c r="B476" s="29" t="s">
        <v>235</v>
      </c>
      <c r="C476" s="29" t="s">
        <v>316</v>
      </c>
      <c r="D476" s="29" t="s">
        <v>247</v>
      </c>
      <c r="E476" s="29" t="s">
        <v>6</v>
      </c>
      <c r="F476" s="29" t="s">
        <v>245</v>
      </c>
      <c r="G476" s="29" t="s">
        <v>266</v>
      </c>
      <c r="H476" s="32">
        <v>1</v>
      </c>
      <c r="I476" s="32">
        <v>2970.66</v>
      </c>
      <c r="J476" s="32">
        <v>2970.66</v>
      </c>
      <c r="K476" s="29"/>
      <c r="M476" s="29"/>
      <c r="N476" s="29"/>
      <c r="P476" s="29"/>
      <c r="Q476" s="29"/>
      <c r="S476" s="29"/>
      <c r="T476" s="29"/>
      <c r="V476" s="29"/>
      <c r="X476" s="29"/>
      <c r="Y476" s="29"/>
      <c r="Z476" s="29"/>
    </row>
    <row r="477" spans="1:26" ht="15" thickBot="1">
      <c r="A477" s="32" t="s">
        <v>432</v>
      </c>
      <c r="B477" s="29" t="s">
        <v>260</v>
      </c>
      <c r="C477" s="29" t="s">
        <v>231</v>
      </c>
      <c r="D477" s="29" t="s">
        <v>232</v>
      </c>
      <c r="E477" s="29" t="s">
        <v>6</v>
      </c>
      <c r="F477" s="29" t="s">
        <v>233</v>
      </c>
      <c r="G477" s="29" t="s">
        <v>301</v>
      </c>
      <c r="H477" s="32">
        <v>15</v>
      </c>
      <c r="I477" s="32">
        <v>3579.98</v>
      </c>
      <c r="J477" s="32">
        <v>53699.7</v>
      </c>
      <c r="K477" s="29"/>
      <c r="M477" s="29"/>
      <c r="N477" s="29"/>
      <c r="P477" s="29"/>
      <c r="Q477" s="29"/>
      <c r="S477" s="29"/>
      <c r="T477" s="29"/>
      <c r="V477" s="29"/>
      <c r="X477" s="29"/>
      <c r="Y477" s="29"/>
      <c r="Z477" s="29"/>
    </row>
    <row r="478" spans="1:26" ht="15" thickBot="1">
      <c r="A478" s="49">
        <v>45056</v>
      </c>
      <c r="B478" s="29" t="s">
        <v>280</v>
      </c>
      <c r="C478" s="29" t="s">
        <v>316</v>
      </c>
      <c r="D478" s="29" t="s">
        <v>247</v>
      </c>
      <c r="E478" s="29" t="s">
        <v>6</v>
      </c>
      <c r="F478" s="29" t="s">
        <v>259</v>
      </c>
      <c r="G478" s="29" t="s">
        <v>182</v>
      </c>
      <c r="H478" s="32">
        <v>9</v>
      </c>
      <c r="I478" s="32">
        <v>1605.02</v>
      </c>
      <c r="J478" s="32">
        <v>14445.18</v>
      </c>
      <c r="K478" s="29"/>
      <c r="M478" s="29"/>
      <c r="N478" s="29"/>
      <c r="P478" s="29"/>
      <c r="Q478" s="29"/>
      <c r="S478" s="29"/>
      <c r="T478" s="29"/>
      <c r="V478" s="29"/>
      <c r="X478" s="29"/>
      <c r="Y478" s="29"/>
      <c r="Z478" s="29"/>
    </row>
    <row r="479" spans="1:26" ht="15" thickBot="1">
      <c r="A479" s="32" t="s">
        <v>355</v>
      </c>
      <c r="B479" s="29" t="s">
        <v>230</v>
      </c>
      <c r="C479" s="29" t="s">
        <v>255</v>
      </c>
      <c r="D479" s="29" t="s">
        <v>237</v>
      </c>
      <c r="E479" s="29" t="s">
        <v>8</v>
      </c>
      <c r="F479" s="29" t="s">
        <v>259</v>
      </c>
      <c r="G479" s="29" t="s">
        <v>179</v>
      </c>
      <c r="H479" s="32">
        <v>12</v>
      </c>
      <c r="I479" s="32">
        <v>1982.64</v>
      </c>
      <c r="J479" s="32">
        <v>23791.68</v>
      </c>
      <c r="K479" s="29"/>
      <c r="M479" s="29"/>
      <c r="N479" s="29"/>
      <c r="P479" s="29"/>
      <c r="Q479" s="29"/>
      <c r="S479" s="29"/>
      <c r="T479" s="29"/>
      <c r="V479" s="29"/>
      <c r="X479" s="29"/>
      <c r="Y479" s="29"/>
      <c r="Z479" s="29"/>
    </row>
    <row r="480" spans="1:26" ht="15" thickBot="1">
      <c r="A480" s="32" t="s">
        <v>440</v>
      </c>
      <c r="B480" s="29" t="s">
        <v>271</v>
      </c>
      <c r="C480" s="29" t="s">
        <v>316</v>
      </c>
      <c r="D480" s="29" t="s">
        <v>247</v>
      </c>
      <c r="E480" s="29" t="s">
        <v>6</v>
      </c>
      <c r="F480" s="29" t="s">
        <v>238</v>
      </c>
      <c r="G480" s="29" t="s">
        <v>303</v>
      </c>
      <c r="H480" s="32">
        <v>20</v>
      </c>
      <c r="I480" s="32">
        <v>3195.53</v>
      </c>
      <c r="J480" s="32">
        <v>63910.6</v>
      </c>
      <c r="K480" s="29"/>
      <c r="M480" s="29"/>
      <c r="N480" s="29"/>
      <c r="P480" s="29"/>
      <c r="Q480" s="29"/>
      <c r="S480" s="29"/>
      <c r="T480" s="29"/>
      <c r="V480" s="29"/>
      <c r="X480" s="29"/>
      <c r="Y480" s="29"/>
      <c r="Z480" s="29"/>
    </row>
    <row r="481" spans="1:26" ht="15" thickBot="1">
      <c r="A481" s="49">
        <v>45176</v>
      </c>
      <c r="B481" s="29" t="s">
        <v>280</v>
      </c>
      <c r="C481" s="29" t="s">
        <v>261</v>
      </c>
      <c r="D481" s="29" t="s">
        <v>247</v>
      </c>
      <c r="E481" s="29" t="s">
        <v>6</v>
      </c>
      <c r="F481" s="29" t="s">
        <v>250</v>
      </c>
      <c r="G481" s="29" t="s">
        <v>284</v>
      </c>
      <c r="H481" s="32">
        <v>20</v>
      </c>
      <c r="I481" s="32">
        <v>1580.59</v>
      </c>
      <c r="J481" s="32">
        <v>31611.8</v>
      </c>
      <c r="K481" s="29"/>
      <c r="M481" s="29"/>
      <c r="N481" s="29"/>
      <c r="P481" s="29"/>
      <c r="Q481" s="29"/>
      <c r="S481" s="29"/>
      <c r="T481" s="29"/>
      <c r="V481" s="29"/>
      <c r="X481" s="29"/>
      <c r="Y481" s="29"/>
      <c r="Z481" s="29"/>
    </row>
    <row r="482" spans="1:26" ht="15" thickBot="1">
      <c r="A482" s="32" t="s">
        <v>365</v>
      </c>
      <c r="B482" s="29" t="s">
        <v>248</v>
      </c>
      <c r="C482" s="29" t="s">
        <v>283</v>
      </c>
      <c r="D482" s="29" t="s">
        <v>242</v>
      </c>
      <c r="E482" s="29" t="s">
        <v>8</v>
      </c>
      <c r="F482" s="29" t="s">
        <v>259</v>
      </c>
      <c r="G482" s="29" t="s">
        <v>298</v>
      </c>
      <c r="H482" s="32">
        <v>6</v>
      </c>
      <c r="I482" s="32">
        <v>809.57</v>
      </c>
      <c r="J482" s="32">
        <v>4857.42</v>
      </c>
      <c r="K482" s="29"/>
      <c r="M482" s="29"/>
      <c r="N482" s="29"/>
      <c r="P482" s="29"/>
      <c r="Q482" s="29"/>
      <c r="S482" s="29"/>
      <c r="T482" s="29"/>
      <c r="V482" s="29"/>
      <c r="X482" s="29"/>
      <c r="Y482" s="29"/>
      <c r="Z482" s="29"/>
    </row>
    <row r="483" spans="1:26" ht="15" thickBot="1">
      <c r="A483" s="32" t="s">
        <v>441</v>
      </c>
      <c r="B483" s="29" t="s">
        <v>260</v>
      </c>
      <c r="C483" s="29" t="s">
        <v>274</v>
      </c>
      <c r="D483" s="29" t="s">
        <v>232</v>
      </c>
      <c r="E483" s="29" t="s">
        <v>6</v>
      </c>
      <c r="F483" s="29" t="s">
        <v>238</v>
      </c>
      <c r="G483" s="29" t="s">
        <v>256</v>
      </c>
      <c r="H483" s="32">
        <v>6</v>
      </c>
      <c r="I483" s="32">
        <v>1221.52</v>
      </c>
      <c r="J483" s="32">
        <v>7329.12</v>
      </c>
      <c r="K483" s="29"/>
      <c r="M483" s="29"/>
      <c r="N483" s="29"/>
      <c r="P483" s="29"/>
      <c r="Q483" s="29"/>
      <c r="S483" s="29"/>
      <c r="T483" s="29"/>
      <c r="V483" s="29"/>
      <c r="X483" s="29"/>
      <c r="Y483" s="29"/>
      <c r="Z483" s="29"/>
    </row>
    <row r="484" spans="1:26" ht="15" thickBot="1">
      <c r="A484" s="49">
        <v>45054</v>
      </c>
      <c r="B484" s="29" t="s">
        <v>240</v>
      </c>
      <c r="C484" s="29" t="s">
        <v>258</v>
      </c>
      <c r="D484" s="29" t="s">
        <v>242</v>
      </c>
      <c r="E484" s="29" t="s">
        <v>8</v>
      </c>
      <c r="F484" s="29" t="s">
        <v>233</v>
      </c>
      <c r="G484" s="29" t="s">
        <v>234</v>
      </c>
      <c r="H484" s="32">
        <v>4</v>
      </c>
      <c r="I484" s="32">
        <v>2457.5</v>
      </c>
      <c r="J484" s="32">
        <v>9830</v>
      </c>
      <c r="K484" s="29"/>
      <c r="M484" s="29"/>
      <c r="N484" s="29"/>
      <c r="P484" s="29"/>
      <c r="Q484" s="29"/>
      <c r="S484" s="29"/>
      <c r="T484" s="29"/>
      <c r="V484" s="29"/>
      <c r="X484" s="29"/>
      <c r="Y484" s="29"/>
      <c r="Z484" s="29"/>
    </row>
    <row r="485" spans="1:26" ht="15" thickBot="1">
      <c r="A485" s="49">
        <v>45115</v>
      </c>
      <c r="B485" s="29" t="s">
        <v>240</v>
      </c>
      <c r="C485" s="29" t="s">
        <v>283</v>
      </c>
      <c r="D485" s="29" t="s">
        <v>242</v>
      </c>
      <c r="E485" s="29" t="s">
        <v>8</v>
      </c>
      <c r="F485" s="29" t="s">
        <v>238</v>
      </c>
      <c r="G485" s="29" t="s">
        <v>303</v>
      </c>
      <c r="H485" s="32">
        <v>12</v>
      </c>
      <c r="I485" s="32">
        <v>2820.88</v>
      </c>
      <c r="J485" s="32">
        <v>33850.559999999998</v>
      </c>
      <c r="K485" s="29"/>
      <c r="M485" s="29"/>
      <c r="N485" s="29"/>
      <c r="P485" s="29"/>
      <c r="Q485" s="29"/>
      <c r="S485" s="29"/>
      <c r="T485" s="29"/>
      <c r="V485" s="29"/>
      <c r="X485" s="29"/>
      <c r="Y485" s="29"/>
      <c r="Z485" s="29"/>
    </row>
    <row r="486" spans="1:26" ht="15" thickBot="1">
      <c r="A486" s="49">
        <v>45143</v>
      </c>
      <c r="B486" s="29" t="s">
        <v>271</v>
      </c>
      <c r="C486" s="29" t="s">
        <v>249</v>
      </c>
      <c r="D486" s="29" t="s">
        <v>232</v>
      </c>
      <c r="E486" s="29" t="s">
        <v>6</v>
      </c>
      <c r="F486" s="29" t="s">
        <v>238</v>
      </c>
      <c r="G486" s="29" t="s">
        <v>239</v>
      </c>
      <c r="H486" s="32">
        <v>10</v>
      </c>
      <c r="I486" s="32">
        <v>1512.64</v>
      </c>
      <c r="J486" s="32">
        <v>15126.4</v>
      </c>
      <c r="K486" s="29"/>
      <c r="M486" s="29"/>
      <c r="N486" s="29"/>
      <c r="P486" s="29"/>
      <c r="Q486" s="29"/>
      <c r="S486" s="29"/>
      <c r="T486" s="29"/>
      <c r="V486" s="29"/>
      <c r="X486" s="29"/>
      <c r="Y486" s="29"/>
      <c r="Z486" s="29"/>
    </row>
    <row r="487" spans="1:26" ht="15" thickBot="1">
      <c r="A487" s="32" t="s">
        <v>440</v>
      </c>
      <c r="B487" s="29" t="s">
        <v>257</v>
      </c>
      <c r="C487" s="29" t="s">
        <v>273</v>
      </c>
      <c r="D487" s="29" t="s">
        <v>252</v>
      </c>
      <c r="E487" s="29" t="s">
        <v>5</v>
      </c>
      <c r="F487" s="29" t="s">
        <v>250</v>
      </c>
      <c r="G487" s="29" t="s">
        <v>251</v>
      </c>
      <c r="H487" s="32">
        <v>5</v>
      </c>
      <c r="I487" s="32">
        <v>3199.14</v>
      </c>
      <c r="J487" s="32">
        <v>15995.7</v>
      </c>
      <c r="K487" s="29"/>
      <c r="M487" s="29"/>
      <c r="N487" s="29"/>
      <c r="P487" s="29"/>
      <c r="Q487" s="29"/>
      <c r="S487" s="29"/>
      <c r="T487" s="29"/>
      <c r="V487" s="29"/>
      <c r="X487" s="29"/>
      <c r="Y487" s="29"/>
      <c r="Z487" s="29"/>
    </row>
    <row r="488" spans="1:26" ht="15" thickBot="1">
      <c r="A488" s="32" t="s">
        <v>442</v>
      </c>
      <c r="B488" s="29" t="s">
        <v>230</v>
      </c>
      <c r="C488" s="29" t="s">
        <v>261</v>
      </c>
      <c r="D488" s="29" t="s">
        <v>247</v>
      </c>
      <c r="E488" s="29" t="s">
        <v>6</v>
      </c>
      <c r="F488" s="29" t="s">
        <v>259</v>
      </c>
      <c r="G488" s="29" t="s">
        <v>299</v>
      </c>
      <c r="H488" s="32">
        <v>11</v>
      </c>
      <c r="I488" s="32">
        <v>4315</v>
      </c>
      <c r="J488" s="32">
        <v>47465</v>
      </c>
      <c r="K488" s="29"/>
      <c r="M488" s="29"/>
      <c r="N488" s="29"/>
      <c r="P488" s="29"/>
      <c r="Q488" s="29"/>
      <c r="S488" s="29"/>
      <c r="T488" s="29"/>
      <c r="V488" s="29"/>
      <c r="X488" s="29"/>
      <c r="Y488" s="29"/>
      <c r="Z488" s="29"/>
    </row>
    <row r="489" spans="1:26" ht="15" thickBot="1">
      <c r="A489" s="49">
        <v>45057</v>
      </c>
      <c r="B489" s="29" t="s">
        <v>235</v>
      </c>
      <c r="C489" s="29" t="s">
        <v>231</v>
      </c>
      <c r="D489" s="29" t="s">
        <v>232</v>
      </c>
      <c r="E489" s="29" t="s">
        <v>6</v>
      </c>
      <c r="F489" s="29" t="s">
        <v>250</v>
      </c>
      <c r="G489" s="29" t="s">
        <v>284</v>
      </c>
      <c r="H489" s="32">
        <v>9</v>
      </c>
      <c r="I489" s="32">
        <v>2118.17</v>
      </c>
      <c r="J489" s="32">
        <v>19063.53</v>
      </c>
      <c r="K489" s="29"/>
      <c r="M489" s="29"/>
      <c r="N489" s="29"/>
      <c r="P489" s="29"/>
      <c r="Q489" s="29"/>
      <c r="S489" s="29"/>
      <c r="T489" s="29"/>
      <c r="V489" s="29"/>
      <c r="X489" s="29"/>
      <c r="Y489" s="29"/>
      <c r="Z489" s="29"/>
    </row>
    <row r="490" spans="1:26" ht="15" thickBot="1">
      <c r="A490" s="49">
        <v>45017</v>
      </c>
      <c r="B490" s="29" t="s">
        <v>280</v>
      </c>
      <c r="C490" s="29" t="s">
        <v>273</v>
      </c>
      <c r="D490" s="29" t="s">
        <v>252</v>
      </c>
      <c r="E490" s="29" t="s">
        <v>5</v>
      </c>
      <c r="F490" s="29" t="s">
        <v>238</v>
      </c>
      <c r="G490" s="29" t="s">
        <v>256</v>
      </c>
      <c r="H490" s="32">
        <v>18</v>
      </c>
      <c r="I490" s="32">
        <v>1042.99</v>
      </c>
      <c r="J490" s="32">
        <v>18773.82</v>
      </c>
      <c r="K490" s="29"/>
      <c r="M490" s="29"/>
      <c r="N490" s="29"/>
      <c r="P490" s="29"/>
      <c r="Q490" s="29"/>
      <c r="S490" s="29"/>
      <c r="T490" s="29"/>
      <c r="V490" s="29"/>
      <c r="X490" s="29"/>
      <c r="Y490" s="29"/>
      <c r="Z490" s="29"/>
    </row>
    <row r="491" spans="1:26" ht="15" thickBot="1">
      <c r="A491" s="32" t="s">
        <v>263</v>
      </c>
      <c r="B491" s="29" t="s">
        <v>235</v>
      </c>
      <c r="C491" s="29" t="s">
        <v>281</v>
      </c>
      <c r="D491" s="29" t="s">
        <v>252</v>
      </c>
      <c r="E491" s="29" t="s">
        <v>5</v>
      </c>
      <c r="F491" s="29" t="s">
        <v>259</v>
      </c>
      <c r="G491" s="29" t="s">
        <v>299</v>
      </c>
      <c r="H491" s="32">
        <v>6</v>
      </c>
      <c r="I491" s="32">
        <v>4707.38</v>
      </c>
      <c r="J491" s="32">
        <v>28244.28</v>
      </c>
      <c r="K491" s="29"/>
      <c r="M491" s="29"/>
      <c r="N491" s="29"/>
      <c r="P491" s="29"/>
      <c r="Q491" s="29"/>
      <c r="S491" s="29"/>
      <c r="T491" s="29"/>
      <c r="V491" s="29"/>
      <c r="X491" s="29"/>
      <c r="Y491" s="29"/>
      <c r="Z491" s="29"/>
    </row>
    <row r="492" spans="1:26" ht="15" thickBot="1">
      <c r="A492" s="32" t="s">
        <v>443</v>
      </c>
      <c r="B492" s="29" t="s">
        <v>254</v>
      </c>
      <c r="C492" s="29" t="s">
        <v>231</v>
      </c>
      <c r="D492" s="29" t="s">
        <v>232</v>
      </c>
      <c r="E492" s="29" t="s">
        <v>6</v>
      </c>
      <c r="F492" s="29" t="s">
        <v>250</v>
      </c>
      <c r="G492" s="29" t="s">
        <v>284</v>
      </c>
      <c r="H492" s="32">
        <v>8</v>
      </c>
      <c r="I492" s="32">
        <v>360.87</v>
      </c>
      <c r="J492" s="32">
        <v>2886.96</v>
      </c>
      <c r="K492" s="29"/>
      <c r="M492" s="29"/>
      <c r="N492" s="29"/>
      <c r="P492" s="29"/>
      <c r="Q492" s="29"/>
      <c r="S492" s="29"/>
      <c r="T492" s="29"/>
      <c r="V492" s="29"/>
      <c r="X492" s="29"/>
      <c r="Y492" s="29"/>
      <c r="Z492" s="29"/>
    </row>
    <row r="493" spans="1:26" ht="15" thickBot="1">
      <c r="A493" s="49">
        <v>45140</v>
      </c>
      <c r="B493" s="29" t="s">
        <v>248</v>
      </c>
      <c r="C493" s="29" t="s">
        <v>255</v>
      </c>
      <c r="D493" s="29" t="s">
        <v>237</v>
      </c>
      <c r="E493" s="29" t="s">
        <v>8</v>
      </c>
      <c r="F493" s="29" t="s">
        <v>238</v>
      </c>
      <c r="G493" s="29" t="s">
        <v>296</v>
      </c>
      <c r="H493" s="32">
        <v>12</v>
      </c>
      <c r="I493" s="32">
        <v>2519.65</v>
      </c>
      <c r="J493" s="32">
        <v>30235.8</v>
      </c>
      <c r="K493" s="29"/>
      <c r="M493" s="29"/>
      <c r="N493" s="29"/>
      <c r="P493" s="29"/>
      <c r="Q493" s="29"/>
      <c r="S493" s="29"/>
      <c r="T493" s="29"/>
      <c r="V493" s="29"/>
      <c r="X493" s="29"/>
      <c r="Y493" s="29"/>
      <c r="Z493" s="29"/>
    </row>
    <row r="494" spans="1:26" ht="15" thickBot="1">
      <c r="A494" s="49">
        <v>45176</v>
      </c>
      <c r="B494" s="29" t="s">
        <v>240</v>
      </c>
      <c r="C494" s="29" t="s">
        <v>273</v>
      </c>
      <c r="D494" s="29" t="s">
        <v>252</v>
      </c>
      <c r="E494" s="29" t="s">
        <v>5</v>
      </c>
      <c r="F494" s="29" t="s">
        <v>238</v>
      </c>
      <c r="G494" s="29" t="s">
        <v>256</v>
      </c>
      <c r="H494" s="32">
        <v>7</v>
      </c>
      <c r="I494" s="32">
        <v>2861.67</v>
      </c>
      <c r="J494" s="32">
        <v>20031.689999999999</v>
      </c>
      <c r="K494" s="29"/>
      <c r="M494" s="29"/>
      <c r="N494" s="29"/>
      <c r="P494" s="29"/>
      <c r="Q494" s="29"/>
      <c r="S494" s="29"/>
      <c r="T494" s="29"/>
      <c r="V494" s="29"/>
      <c r="X494" s="29"/>
      <c r="Y494" s="29"/>
      <c r="Z494" s="29"/>
    </row>
    <row r="495" spans="1:26" ht="15" thickBot="1">
      <c r="A495" s="32" t="s">
        <v>370</v>
      </c>
      <c r="B495" s="29" t="s">
        <v>240</v>
      </c>
      <c r="C495" s="29" t="s">
        <v>313</v>
      </c>
      <c r="D495" s="29" t="s">
        <v>252</v>
      </c>
      <c r="E495" s="29" t="s">
        <v>5</v>
      </c>
      <c r="F495" s="29" t="s">
        <v>250</v>
      </c>
      <c r="G495" s="29" t="s">
        <v>277</v>
      </c>
      <c r="H495" s="32">
        <v>11</v>
      </c>
      <c r="I495" s="32">
        <v>4896.83</v>
      </c>
      <c r="J495" s="32">
        <v>53865.13</v>
      </c>
      <c r="K495" s="29"/>
      <c r="M495" s="29"/>
      <c r="N495" s="29"/>
      <c r="P495" s="29"/>
      <c r="Q495" s="29"/>
      <c r="S495" s="29"/>
      <c r="T495" s="29"/>
      <c r="V495" s="29"/>
      <c r="X495" s="29"/>
      <c r="Y495" s="29"/>
      <c r="Z495" s="29"/>
    </row>
    <row r="496" spans="1:26" ht="15" thickBot="1">
      <c r="A496" s="32" t="s">
        <v>437</v>
      </c>
      <c r="B496" s="29" t="s">
        <v>235</v>
      </c>
      <c r="C496" s="29" t="s">
        <v>261</v>
      </c>
      <c r="D496" s="29" t="s">
        <v>247</v>
      </c>
      <c r="E496" s="29" t="s">
        <v>6</v>
      </c>
      <c r="F496" s="29" t="s">
        <v>259</v>
      </c>
      <c r="G496" s="29" t="s">
        <v>182</v>
      </c>
      <c r="H496" s="32">
        <v>15</v>
      </c>
      <c r="I496" s="32">
        <v>4180.6099999999997</v>
      </c>
      <c r="J496" s="32">
        <v>62709.15</v>
      </c>
      <c r="K496" s="29"/>
      <c r="M496" s="29"/>
      <c r="N496" s="29"/>
      <c r="P496" s="29"/>
      <c r="Q496" s="29"/>
      <c r="S496" s="29"/>
      <c r="T496" s="29"/>
      <c r="V496" s="29"/>
      <c r="X496" s="29"/>
      <c r="Y496" s="29"/>
      <c r="Z496" s="29"/>
    </row>
    <row r="497" spans="1:26" ht="15" thickBot="1">
      <c r="A497" s="49">
        <v>45242</v>
      </c>
      <c r="B497" s="29" t="s">
        <v>257</v>
      </c>
      <c r="C497" s="29" t="s">
        <v>281</v>
      </c>
      <c r="D497" s="29" t="s">
        <v>252</v>
      </c>
      <c r="E497" s="29" t="s">
        <v>5</v>
      </c>
      <c r="F497" s="29" t="s">
        <v>250</v>
      </c>
      <c r="G497" s="29" t="s">
        <v>251</v>
      </c>
      <c r="H497" s="32">
        <v>2</v>
      </c>
      <c r="I497" s="32">
        <v>3747.71</v>
      </c>
      <c r="J497" s="32">
        <v>7495.42</v>
      </c>
      <c r="K497" s="29"/>
      <c r="M497" s="29"/>
      <c r="N497" s="29"/>
      <c r="P497" s="29"/>
      <c r="Q497" s="29"/>
      <c r="S497" s="29"/>
      <c r="T497" s="29"/>
      <c r="V497" s="29"/>
      <c r="X497" s="29"/>
      <c r="Y497" s="29"/>
      <c r="Z497" s="29"/>
    </row>
    <row r="498" spans="1:26" ht="15" thickBot="1">
      <c r="A498" s="32" t="s">
        <v>444</v>
      </c>
      <c r="B498" s="29" t="s">
        <v>271</v>
      </c>
      <c r="C498" s="29" t="s">
        <v>281</v>
      </c>
      <c r="D498" s="29" t="s">
        <v>252</v>
      </c>
      <c r="E498" s="29" t="s">
        <v>5</v>
      </c>
      <c r="F498" s="29" t="s">
        <v>238</v>
      </c>
      <c r="G498" s="29" t="s">
        <v>296</v>
      </c>
      <c r="H498" s="32">
        <v>3</v>
      </c>
      <c r="I498" s="32">
        <v>2792.38</v>
      </c>
      <c r="J498" s="32">
        <v>8377.14</v>
      </c>
      <c r="K498" s="29"/>
      <c r="M498" s="29"/>
      <c r="N498" s="29"/>
      <c r="P498" s="29"/>
      <c r="Q498" s="29"/>
      <c r="S498" s="29"/>
      <c r="T498" s="29"/>
      <c r="V498" s="29"/>
      <c r="X498" s="29"/>
      <c r="Y498" s="29"/>
      <c r="Z498" s="29"/>
    </row>
    <row r="499" spans="1:26" ht="15" thickBot="1">
      <c r="A499" s="49">
        <v>45028</v>
      </c>
      <c r="B499" s="29" t="s">
        <v>254</v>
      </c>
      <c r="C499" s="29" t="s">
        <v>249</v>
      </c>
      <c r="D499" s="29" t="s">
        <v>232</v>
      </c>
      <c r="E499" s="29" t="s">
        <v>6</v>
      </c>
      <c r="F499" s="29" t="s">
        <v>259</v>
      </c>
      <c r="G499" s="29" t="s">
        <v>182</v>
      </c>
      <c r="H499" s="32">
        <v>17</v>
      </c>
      <c r="I499" s="32">
        <v>683.31</v>
      </c>
      <c r="J499" s="32">
        <v>11616.27</v>
      </c>
      <c r="K499" s="29"/>
      <c r="M499" s="29"/>
      <c r="N499" s="29"/>
      <c r="P499" s="29"/>
      <c r="Q499" s="29"/>
      <c r="S499" s="29"/>
      <c r="T499" s="29"/>
      <c r="V499" s="29"/>
      <c r="X499" s="29"/>
      <c r="Y499" s="29"/>
      <c r="Z499" s="29"/>
    </row>
    <row r="500" spans="1:26" ht="15" thickBot="1">
      <c r="A500" s="49">
        <v>44986</v>
      </c>
      <c r="B500" s="29" t="s">
        <v>257</v>
      </c>
      <c r="C500" s="29" t="s">
        <v>313</v>
      </c>
      <c r="D500" s="29" t="s">
        <v>252</v>
      </c>
      <c r="E500" s="29" t="s">
        <v>5</v>
      </c>
      <c r="F500" s="29" t="s">
        <v>245</v>
      </c>
      <c r="G500" s="29" t="s">
        <v>269</v>
      </c>
      <c r="H500" s="32">
        <v>20</v>
      </c>
      <c r="I500" s="32">
        <v>3463.6</v>
      </c>
      <c r="J500" s="32">
        <v>69272</v>
      </c>
      <c r="K500" s="29"/>
      <c r="M500" s="29"/>
      <c r="N500" s="29"/>
      <c r="P500" s="29"/>
      <c r="Q500" s="29"/>
      <c r="S500" s="29"/>
      <c r="T500" s="29"/>
      <c r="V500" s="29"/>
      <c r="X500" s="29"/>
      <c r="Y500" s="29"/>
      <c r="Z500" s="29"/>
    </row>
    <row r="501" spans="1:26" ht="15" thickBot="1">
      <c r="A501" s="32" t="s">
        <v>445</v>
      </c>
      <c r="B501" s="29" t="s">
        <v>248</v>
      </c>
      <c r="C501" s="29" t="s">
        <v>258</v>
      </c>
      <c r="D501" s="29" t="s">
        <v>242</v>
      </c>
      <c r="E501" s="29" t="s">
        <v>8</v>
      </c>
      <c r="F501" s="29" t="s">
        <v>238</v>
      </c>
      <c r="G501" s="29" t="s">
        <v>303</v>
      </c>
      <c r="H501" s="32">
        <v>9</v>
      </c>
      <c r="I501" s="32">
        <v>1609.98</v>
      </c>
      <c r="J501" s="32">
        <v>14489.82</v>
      </c>
      <c r="K501" s="29"/>
      <c r="M501" s="29"/>
      <c r="N501" s="29"/>
      <c r="P501" s="29"/>
      <c r="Q501" s="29"/>
      <c r="S501" s="29"/>
      <c r="T501" s="29"/>
      <c r="V501" s="29"/>
      <c r="X501" s="29"/>
      <c r="Y501" s="29"/>
      <c r="Z501" s="29"/>
    </row>
    <row r="502" spans="1:26" ht="15" thickBot="1">
      <c r="A502" s="49">
        <v>45084</v>
      </c>
      <c r="B502" s="29" t="s">
        <v>235</v>
      </c>
      <c r="C502" s="29" t="s">
        <v>249</v>
      </c>
      <c r="D502" s="29" t="s">
        <v>232</v>
      </c>
      <c r="E502" s="29" t="s">
        <v>6</v>
      </c>
      <c r="F502" s="29" t="s">
        <v>238</v>
      </c>
      <c r="G502" s="29" t="s">
        <v>296</v>
      </c>
      <c r="H502" s="32">
        <v>4</v>
      </c>
      <c r="I502" s="32">
        <v>2836.34</v>
      </c>
      <c r="J502" s="32">
        <v>11345.36</v>
      </c>
      <c r="K502" s="29"/>
      <c r="M502" s="29"/>
      <c r="N502" s="29"/>
      <c r="P502" s="29"/>
      <c r="Q502" s="29"/>
      <c r="S502" s="29"/>
      <c r="T502" s="29"/>
      <c r="V502" s="29"/>
      <c r="X502" s="29"/>
      <c r="Y502" s="29"/>
      <c r="Z502" s="29"/>
    </row>
    <row r="503" spans="1:26" ht="15" thickBot="1">
      <c r="A503" s="32" t="s">
        <v>345</v>
      </c>
      <c r="B503" s="29" t="s">
        <v>268</v>
      </c>
      <c r="C503" s="29" t="s">
        <v>261</v>
      </c>
      <c r="D503" s="29" t="s">
        <v>247</v>
      </c>
      <c r="E503" s="29" t="s">
        <v>6</v>
      </c>
      <c r="F503" s="29" t="s">
        <v>259</v>
      </c>
      <c r="G503" s="29" t="s">
        <v>298</v>
      </c>
      <c r="H503" s="32">
        <v>18</v>
      </c>
      <c r="I503" s="32">
        <v>3238.98</v>
      </c>
      <c r="J503" s="32">
        <v>58301.64</v>
      </c>
      <c r="K503" s="29"/>
      <c r="M503" s="29"/>
      <c r="N503" s="29"/>
      <c r="P503" s="29"/>
      <c r="Q503" s="29"/>
      <c r="S503" s="29"/>
      <c r="T503" s="29"/>
      <c r="V503" s="29"/>
      <c r="X503" s="29"/>
      <c r="Y503" s="29"/>
      <c r="Z503" s="29"/>
    </row>
    <row r="504" spans="1:26" ht="15" thickBot="1">
      <c r="A504" s="32" t="s">
        <v>393</v>
      </c>
      <c r="B504" s="29" t="s">
        <v>248</v>
      </c>
      <c r="C504" s="29" t="s">
        <v>258</v>
      </c>
      <c r="D504" s="29" t="s">
        <v>242</v>
      </c>
      <c r="E504" s="29" t="s">
        <v>8</v>
      </c>
      <c r="F504" s="29" t="s">
        <v>233</v>
      </c>
      <c r="G504" s="29" t="s">
        <v>301</v>
      </c>
      <c r="H504" s="32">
        <v>20</v>
      </c>
      <c r="I504" s="32">
        <v>2791.25</v>
      </c>
      <c r="J504" s="32">
        <v>55825</v>
      </c>
      <c r="K504" s="29"/>
      <c r="M504" s="29"/>
      <c r="N504" s="29"/>
      <c r="P504" s="29"/>
      <c r="Q504" s="29"/>
      <c r="S504" s="29"/>
      <c r="T504" s="29"/>
      <c r="V504" s="29"/>
      <c r="X504" s="29"/>
      <c r="Y504" s="29"/>
      <c r="Z504" s="29"/>
    </row>
    <row r="505" spans="1:26" ht="15" thickBot="1">
      <c r="A505" s="32" t="s">
        <v>434</v>
      </c>
      <c r="B505" s="29" t="s">
        <v>235</v>
      </c>
      <c r="C505" s="29" t="s">
        <v>276</v>
      </c>
      <c r="D505" s="29" t="s">
        <v>247</v>
      </c>
      <c r="E505" s="29" t="s">
        <v>6</v>
      </c>
      <c r="F505" s="29" t="s">
        <v>245</v>
      </c>
      <c r="G505" s="29" t="s">
        <v>246</v>
      </c>
      <c r="H505" s="32">
        <v>1</v>
      </c>
      <c r="I505" s="32">
        <v>3165.04</v>
      </c>
      <c r="J505" s="32">
        <v>3165.04</v>
      </c>
      <c r="K505" s="29"/>
      <c r="M505" s="29"/>
      <c r="N505" s="29"/>
      <c r="P505" s="29"/>
      <c r="Q505" s="29"/>
      <c r="S505" s="29"/>
      <c r="T505" s="29"/>
      <c r="V505" s="29"/>
      <c r="X505" s="29"/>
      <c r="Y505" s="29"/>
      <c r="Z505" s="29"/>
    </row>
    <row r="506" spans="1:26" ht="15" thickBot="1">
      <c r="A506" s="49">
        <v>45117</v>
      </c>
      <c r="B506" s="29" t="s">
        <v>235</v>
      </c>
      <c r="C506" s="29" t="s">
        <v>231</v>
      </c>
      <c r="D506" s="29" t="s">
        <v>232</v>
      </c>
      <c r="E506" s="29" t="s">
        <v>6</v>
      </c>
      <c r="F506" s="29" t="s">
        <v>238</v>
      </c>
      <c r="G506" s="29" t="s">
        <v>239</v>
      </c>
      <c r="H506" s="32">
        <v>14</v>
      </c>
      <c r="I506" s="32">
        <v>3414.59</v>
      </c>
      <c r="J506" s="32">
        <v>47804.26</v>
      </c>
      <c r="K506" s="29"/>
      <c r="M506" s="29"/>
      <c r="N506" s="29"/>
      <c r="P506" s="29"/>
      <c r="Q506" s="29"/>
      <c r="S506" s="29"/>
      <c r="T506" s="29"/>
      <c r="V506" s="29"/>
      <c r="X506" s="29"/>
      <c r="Y506" s="29"/>
      <c r="Z506" s="29"/>
    </row>
    <row r="507" spans="1:26" ht="15" thickBot="1">
      <c r="A507" s="49">
        <v>45240</v>
      </c>
      <c r="B507" s="29" t="s">
        <v>260</v>
      </c>
      <c r="C507" s="29" t="s">
        <v>274</v>
      </c>
      <c r="D507" s="29" t="s">
        <v>232</v>
      </c>
      <c r="E507" s="29" t="s">
        <v>6</v>
      </c>
      <c r="F507" s="29" t="s">
        <v>259</v>
      </c>
      <c r="G507" s="29" t="s">
        <v>298</v>
      </c>
      <c r="H507" s="32">
        <v>4</v>
      </c>
      <c r="I507" s="32">
        <v>3896.69</v>
      </c>
      <c r="J507" s="32">
        <v>15586.76</v>
      </c>
      <c r="K507" s="29"/>
      <c r="M507" s="29"/>
      <c r="N507" s="29"/>
      <c r="P507" s="29"/>
      <c r="Q507" s="29"/>
      <c r="S507" s="29"/>
      <c r="T507" s="29"/>
      <c r="V507" s="29"/>
      <c r="X507" s="29"/>
      <c r="Y507" s="29"/>
      <c r="Z507" s="29"/>
    </row>
    <row r="508" spans="1:26" ht="15" thickBot="1">
      <c r="A508" s="32" t="s">
        <v>446</v>
      </c>
      <c r="B508" s="29" t="s">
        <v>248</v>
      </c>
      <c r="C508" s="29" t="s">
        <v>244</v>
      </c>
      <c r="D508" s="29" t="s">
        <v>237</v>
      </c>
      <c r="E508" s="29" t="s">
        <v>8</v>
      </c>
      <c r="F508" s="29" t="s">
        <v>245</v>
      </c>
      <c r="G508" s="29" t="s">
        <v>295</v>
      </c>
      <c r="H508" s="32">
        <v>5</v>
      </c>
      <c r="I508" s="32">
        <v>2024.36</v>
      </c>
      <c r="J508" s="32">
        <v>10121.799999999999</v>
      </c>
      <c r="K508" s="29"/>
      <c r="M508" s="29"/>
      <c r="N508" s="29"/>
      <c r="P508" s="29"/>
      <c r="Q508" s="29"/>
      <c r="S508" s="29"/>
      <c r="T508" s="29"/>
      <c r="V508" s="29"/>
      <c r="X508" s="29"/>
      <c r="Y508" s="29"/>
      <c r="Z508" s="29"/>
    </row>
    <row r="509" spans="1:26" ht="15" thickBot="1">
      <c r="A509" s="49">
        <v>45207</v>
      </c>
      <c r="B509" s="29" t="s">
        <v>254</v>
      </c>
      <c r="C509" s="29" t="s">
        <v>273</v>
      </c>
      <c r="D509" s="29" t="s">
        <v>252</v>
      </c>
      <c r="E509" s="29" t="s">
        <v>5</v>
      </c>
      <c r="F509" s="29" t="s">
        <v>245</v>
      </c>
      <c r="G509" s="29" t="s">
        <v>246</v>
      </c>
      <c r="H509" s="32">
        <v>17</v>
      </c>
      <c r="I509" s="32">
        <v>102.62</v>
      </c>
      <c r="J509" s="32">
        <v>1744.54</v>
      </c>
      <c r="K509" s="29"/>
      <c r="M509" s="29"/>
      <c r="N509" s="29"/>
      <c r="P509" s="29"/>
      <c r="Q509" s="29"/>
      <c r="S509" s="29"/>
      <c r="T509" s="29"/>
      <c r="V509" s="29"/>
      <c r="X509" s="29"/>
      <c r="Y509" s="29"/>
      <c r="Z509" s="29"/>
    </row>
    <row r="510" spans="1:26" ht="15" thickBot="1">
      <c r="A510" s="32" t="s">
        <v>447</v>
      </c>
      <c r="B510" s="29" t="s">
        <v>248</v>
      </c>
      <c r="C510" s="29" t="s">
        <v>276</v>
      </c>
      <c r="D510" s="29" t="s">
        <v>247</v>
      </c>
      <c r="E510" s="29" t="s">
        <v>6</v>
      </c>
      <c r="F510" s="29" t="s">
        <v>238</v>
      </c>
      <c r="G510" s="29" t="s">
        <v>239</v>
      </c>
      <c r="H510" s="32">
        <v>7</v>
      </c>
      <c r="I510" s="32">
        <v>146.52000000000001</v>
      </c>
      <c r="J510" s="32">
        <v>1025.6400000000001</v>
      </c>
      <c r="K510" s="29"/>
      <c r="M510" s="29"/>
      <c r="N510" s="29"/>
      <c r="P510" s="29"/>
      <c r="Q510" s="29"/>
      <c r="S510" s="29"/>
      <c r="T510" s="29"/>
      <c r="V510" s="29"/>
      <c r="X510" s="29"/>
      <c r="Y510" s="29"/>
      <c r="Z510" s="29"/>
    </row>
    <row r="511" spans="1:26" ht="15" thickBot="1">
      <c r="A511" s="32" t="s">
        <v>448</v>
      </c>
      <c r="B511" s="29" t="s">
        <v>254</v>
      </c>
      <c r="C511" s="29" t="s">
        <v>273</v>
      </c>
      <c r="D511" s="29" t="s">
        <v>252</v>
      </c>
      <c r="E511" s="29" t="s">
        <v>5</v>
      </c>
      <c r="F511" s="29" t="s">
        <v>233</v>
      </c>
      <c r="G511" s="29" t="s">
        <v>301</v>
      </c>
      <c r="H511" s="32">
        <v>2</v>
      </c>
      <c r="I511" s="32">
        <v>4248</v>
      </c>
      <c r="J511" s="32">
        <v>8496</v>
      </c>
      <c r="K511" s="29"/>
      <c r="M511" s="29"/>
      <c r="N511" s="29"/>
      <c r="P511" s="29"/>
      <c r="Q511" s="29"/>
      <c r="S511" s="29"/>
      <c r="T511" s="29"/>
      <c r="V511" s="29"/>
      <c r="X511" s="29"/>
      <c r="Y511" s="29"/>
      <c r="Z511" s="29"/>
    </row>
    <row r="512" spans="1:26" ht="15" thickBot="1">
      <c r="A512" s="49">
        <v>44929</v>
      </c>
      <c r="B512" s="29" t="s">
        <v>280</v>
      </c>
      <c r="C512" s="29" t="s">
        <v>231</v>
      </c>
      <c r="D512" s="29" t="s">
        <v>232</v>
      </c>
      <c r="E512" s="29" t="s">
        <v>6</v>
      </c>
      <c r="F512" s="29" t="s">
        <v>245</v>
      </c>
      <c r="G512" s="29" t="s">
        <v>246</v>
      </c>
      <c r="H512" s="32">
        <v>8</v>
      </c>
      <c r="I512" s="32">
        <v>3075.58</v>
      </c>
      <c r="J512" s="32">
        <v>24604.639999999999</v>
      </c>
      <c r="K512" s="29"/>
      <c r="M512" s="29"/>
      <c r="N512" s="29"/>
      <c r="P512" s="29"/>
      <c r="Q512" s="29"/>
      <c r="S512" s="29"/>
      <c r="T512" s="29"/>
      <c r="V512" s="29"/>
      <c r="X512" s="29"/>
      <c r="Y512" s="29"/>
      <c r="Z512" s="29"/>
    </row>
    <row r="513" spans="1:26" ht="15" thickBot="1">
      <c r="A513" s="32" t="s">
        <v>447</v>
      </c>
      <c r="B513" s="29" t="s">
        <v>257</v>
      </c>
      <c r="C513" s="29" t="s">
        <v>313</v>
      </c>
      <c r="D513" s="29" t="s">
        <v>252</v>
      </c>
      <c r="E513" s="29" t="s">
        <v>5</v>
      </c>
      <c r="F513" s="29" t="s">
        <v>250</v>
      </c>
      <c r="G513" s="29" t="s">
        <v>251</v>
      </c>
      <c r="H513" s="32">
        <v>13</v>
      </c>
      <c r="I513" s="32">
        <v>1246.1400000000001</v>
      </c>
      <c r="J513" s="32">
        <v>16199.82</v>
      </c>
      <c r="K513" s="29"/>
      <c r="M513" s="29"/>
      <c r="N513" s="29"/>
      <c r="P513" s="29"/>
      <c r="Q513" s="29"/>
      <c r="S513" s="29"/>
      <c r="T513" s="29"/>
      <c r="V513" s="29"/>
      <c r="X513" s="29"/>
      <c r="Y513" s="29"/>
      <c r="Z513" s="29"/>
    </row>
    <row r="514" spans="1:26" ht="15" thickBot="1">
      <c r="A514" s="49">
        <v>44966</v>
      </c>
      <c r="B514" s="29" t="s">
        <v>271</v>
      </c>
      <c r="C514" s="29" t="s">
        <v>236</v>
      </c>
      <c r="D514" s="29" t="s">
        <v>237</v>
      </c>
      <c r="E514" s="29" t="s">
        <v>8</v>
      </c>
      <c r="F514" s="29" t="s">
        <v>259</v>
      </c>
      <c r="G514" s="29" t="s">
        <v>179</v>
      </c>
      <c r="H514" s="32">
        <v>16</v>
      </c>
      <c r="I514" s="32">
        <v>3942.95</v>
      </c>
      <c r="J514" s="32">
        <v>63087.199999999997</v>
      </c>
      <c r="K514" s="29"/>
      <c r="M514" s="29"/>
      <c r="N514" s="29"/>
      <c r="P514" s="29"/>
      <c r="Q514" s="29"/>
      <c r="S514" s="29"/>
      <c r="T514" s="29"/>
      <c r="V514" s="29"/>
      <c r="X514" s="29"/>
      <c r="Y514" s="29"/>
      <c r="Z514" s="29"/>
    </row>
    <row r="515" spans="1:26" ht="15" thickBot="1">
      <c r="A515" s="49">
        <v>45233</v>
      </c>
      <c r="B515" s="29" t="s">
        <v>280</v>
      </c>
      <c r="C515" s="29" t="s">
        <v>313</v>
      </c>
      <c r="D515" s="29" t="s">
        <v>252</v>
      </c>
      <c r="E515" s="29" t="s">
        <v>5</v>
      </c>
      <c r="F515" s="29" t="s">
        <v>238</v>
      </c>
      <c r="G515" s="29" t="s">
        <v>303</v>
      </c>
      <c r="H515" s="32">
        <v>1</v>
      </c>
      <c r="I515" s="32">
        <v>936.56</v>
      </c>
      <c r="J515" s="32">
        <v>936.56</v>
      </c>
      <c r="K515" s="29"/>
      <c r="M515" s="29"/>
      <c r="N515" s="29"/>
      <c r="P515" s="29"/>
      <c r="Q515" s="29"/>
      <c r="S515" s="29"/>
      <c r="T515" s="29"/>
      <c r="V515" s="29"/>
      <c r="X515" s="29"/>
      <c r="Y515" s="29"/>
      <c r="Z515" s="29"/>
    </row>
    <row r="516" spans="1:26" ht="15" thickBot="1">
      <c r="A516" s="32" t="s">
        <v>368</v>
      </c>
      <c r="B516" s="29" t="s">
        <v>260</v>
      </c>
      <c r="C516" s="29" t="s">
        <v>273</v>
      </c>
      <c r="D516" s="29" t="s">
        <v>252</v>
      </c>
      <c r="E516" s="29" t="s">
        <v>5</v>
      </c>
      <c r="F516" s="29" t="s">
        <v>245</v>
      </c>
      <c r="G516" s="29" t="s">
        <v>246</v>
      </c>
      <c r="H516" s="32">
        <v>7</v>
      </c>
      <c r="I516" s="32">
        <v>1628.68</v>
      </c>
      <c r="J516" s="32">
        <v>11400.76</v>
      </c>
      <c r="K516" s="29"/>
      <c r="M516" s="29"/>
      <c r="N516" s="29"/>
      <c r="P516" s="29"/>
      <c r="Q516" s="29"/>
      <c r="S516" s="29"/>
      <c r="T516" s="29"/>
      <c r="V516" s="29"/>
      <c r="X516" s="29"/>
      <c r="Y516" s="29"/>
      <c r="Z516" s="29"/>
    </row>
    <row r="517" spans="1:26" ht="15" thickBot="1">
      <c r="A517" s="32" t="s">
        <v>449</v>
      </c>
      <c r="B517" s="29" t="s">
        <v>268</v>
      </c>
      <c r="C517" s="29" t="s">
        <v>276</v>
      </c>
      <c r="D517" s="29" t="s">
        <v>247</v>
      </c>
      <c r="E517" s="29" t="s">
        <v>6</v>
      </c>
      <c r="F517" s="29" t="s">
        <v>238</v>
      </c>
      <c r="G517" s="29" t="s">
        <v>256</v>
      </c>
      <c r="H517" s="32">
        <v>10</v>
      </c>
      <c r="I517" s="32">
        <v>3400.28</v>
      </c>
      <c r="J517" s="32">
        <v>34002.800000000003</v>
      </c>
      <c r="K517" s="29"/>
      <c r="M517" s="29"/>
      <c r="N517" s="29"/>
      <c r="P517" s="29"/>
      <c r="Q517" s="29"/>
      <c r="S517" s="29"/>
      <c r="T517" s="29"/>
      <c r="V517" s="29"/>
      <c r="X517" s="29"/>
      <c r="Y517" s="29"/>
      <c r="Z517" s="29"/>
    </row>
    <row r="518" spans="1:26" ht="15" thickBot="1">
      <c r="A518" s="49">
        <v>45081</v>
      </c>
      <c r="B518" s="29" t="s">
        <v>254</v>
      </c>
      <c r="C518" s="29" t="s">
        <v>283</v>
      </c>
      <c r="D518" s="29" t="s">
        <v>242</v>
      </c>
      <c r="E518" s="29" t="s">
        <v>8</v>
      </c>
      <c r="F518" s="29" t="s">
        <v>238</v>
      </c>
      <c r="G518" s="29" t="s">
        <v>296</v>
      </c>
      <c r="H518" s="32">
        <v>18</v>
      </c>
      <c r="I518" s="32">
        <v>2722.99</v>
      </c>
      <c r="J518" s="32">
        <v>49013.82</v>
      </c>
      <c r="K518" s="29"/>
      <c r="M518" s="29"/>
      <c r="N518" s="29"/>
      <c r="P518" s="29"/>
      <c r="Q518" s="29"/>
      <c r="S518" s="29"/>
      <c r="T518" s="29"/>
      <c r="V518" s="29"/>
      <c r="X518" s="29"/>
      <c r="Y518" s="29"/>
      <c r="Z518" s="29"/>
    </row>
    <row r="519" spans="1:26" ht="15" thickBot="1">
      <c r="A519" s="49">
        <v>45082</v>
      </c>
      <c r="B519" s="29" t="s">
        <v>240</v>
      </c>
      <c r="C519" s="29" t="s">
        <v>241</v>
      </c>
      <c r="D519" s="29" t="s">
        <v>242</v>
      </c>
      <c r="E519" s="29" t="s">
        <v>8</v>
      </c>
      <c r="F519" s="29" t="s">
        <v>250</v>
      </c>
      <c r="G519" s="29" t="s">
        <v>284</v>
      </c>
      <c r="H519" s="32">
        <v>8</v>
      </c>
      <c r="I519" s="32">
        <v>4612.53</v>
      </c>
      <c r="J519" s="32">
        <v>36900.239999999998</v>
      </c>
      <c r="K519" s="29"/>
      <c r="M519" s="29"/>
      <c r="N519" s="29"/>
      <c r="P519" s="29"/>
      <c r="Q519" s="29"/>
      <c r="S519" s="29"/>
      <c r="T519" s="29"/>
      <c r="V519" s="29"/>
      <c r="X519" s="29"/>
      <c r="Y519" s="29"/>
      <c r="Z519" s="29"/>
    </row>
    <row r="520" spans="1:26" ht="15" thickBot="1">
      <c r="A520" s="32" t="s">
        <v>450</v>
      </c>
      <c r="B520" s="29" t="s">
        <v>254</v>
      </c>
      <c r="C520" s="29" t="s">
        <v>231</v>
      </c>
      <c r="D520" s="29" t="s">
        <v>232</v>
      </c>
      <c r="E520" s="29" t="s">
        <v>6</v>
      </c>
      <c r="F520" s="29" t="s">
        <v>250</v>
      </c>
      <c r="G520" s="29" t="s">
        <v>251</v>
      </c>
      <c r="H520" s="32">
        <v>13</v>
      </c>
      <c r="I520" s="32">
        <v>2040.1</v>
      </c>
      <c r="J520" s="32">
        <v>26521.3</v>
      </c>
      <c r="K520" s="29"/>
      <c r="M520" s="29"/>
      <c r="N520" s="29"/>
      <c r="P520" s="29"/>
      <c r="Q520" s="29"/>
      <c r="S520" s="29"/>
      <c r="T520" s="29"/>
      <c r="V520" s="29"/>
      <c r="X520" s="29"/>
      <c r="Y520" s="29"/>
      <c r="Z520" s="29"/>
    </row>
    <row r="521" spans="1:26" ht="15" thickBot="1">
      <c r="A521" s="32" t="s">
        <v>265</v>
      </c>
      <c r="B521" s="29" t="s">
        <v>257</v>
      </c>
      <c r="C521" s="29" t="s">
        <v>283</v>
      </c>
      <c r="D521" s="29" t="s">
        <v>242</v>
      </c>
      <c r="E521" s="29" t="s">
        <v>8</v>
      </c>
      <c r="F521" s="29" t="s">
        <v>259</v>
      </c>
      <c r="G521" s="29" t="s">
        <v>299</v>
      </c>
      <c r="H521" s="32">
        <v>17</v>
      </c>
      <c r="I521" s="32">
        <v>1122.98</v>
      </c>
      <c r="J521" s="32">
        <v>19090.66</v>
      </c>
      <c r="K521" s="29"/>
      <c r="M521" s="29"/>
      <c r="N521" s="29"/>
      <c r="P521" s="29"/>
      <c r="Q521" s="29"/>
      <c r="S521" s="29"/>
      <c r="T521" s="29"/>
      <c r="V521" s="29"/>
      <c r="X521" s="29"/>
      <c r="Y521" s="29"/>
      <c r="Z521" s="29"/>
    </row>
    <row r="522" spans="1:26" ht="15" thickBot="1">
      <c r="A522" s="49">
        <v>45027</v>
      </c>
      <c r="B522" s="29" t="s">
        <v>248</v>
      </c>
      <c r="C522" s="29" t="s">
        <v>231</v>
      </c>
      <c r="D522" s="29" t="s">
        <v>232</v>
      </c>
      <c r="E522" s="29" t="s">
        <v>6</v>
      </c>
      <c r="F522" s="29" t="s">
        <v>250</v>
      </c>
      <c r="G522" s="29" t="s">
        <v>251</v>
      </c>
      <c r="H522" s="32">
        <v>16</v>
      </c>
      <c r="I522" s="32">
        <v>2458.6</v>
      </c>
      <c r="J522" s="32">
        <v>39337.599999999999</v>
      </c>
      <c r="K522" s="29"/>
      <c r="M522" s="29"/>
      <c r="N522" s="29"/>
      <c r="P522" s="29"/>
      <c r="Q522" s="29"/>
      <c r="S522" s="29"/>
      <c r="T522" s="29"/>
      <c r="V522" s="29"/>
      <c r="X522" s="29"/>
      <c r="Y522" s="29"/>
      <c r="Z522" s="29"/>
    </row>
    <row r="523" spans="1:26" ht="15" thickBot="1">
      <c r="A523" s="32" t="s">
        <v>451</v>
      </c>
      <c r="B523" s="29" t="s">
        <v>280</v>
      </c>
      <c r="C523" s="29" t="s">
        <v>231</v>
      </c>
      <c r="D523" s="29" t="s">
        <v>232</v>
      </c>
      <c r="E523" s="29" t="s">
        <v>6</v>
      </c>
      <c r="F523" s="29" t="s">
        <v>233</v>
      </c>
      <c r="G523" s="29" t="s">
        <v>287</v>
      </c>
      <c r="H523" s="32">
        <v>9</v>
      </c>
      <c r="I523" s="32">
        <v>3195.18</v>
      </c>
      <c r="J523" s="32">
        <v>28756.62</v>
      </c>
      <c r="K523" s="29"/>
      <c r="M523" s="29"/>
      <c r="N523" s="29"/>
      <c r="P523" s="29"/>
      <c r="Q523" s="29"/>
      <c r="S523" s="29"/>
      <c r="T523" s="29"/>
      <c r="V523" s="29"/>
      <c r="X523" s="29"/>
      <c r="Y523" s="29"/>
      <c r="Z523" s="29"/>
    </row>
    <row r="524" spans="1:26" ht="15" thickBot="1">
      <c r="A524" s="49">
        <v>45026</v>
      </c>
      <c r="B524" s="29" t="s">
        <v>248</v>
      </c>
      <c r="C524" s="29" t="s">
        <v>236</v>
      </c>
      <c r="D524" s="29" t="s">
        <v>237</v>
      </c>
      <c r="E524" s="29" t="s">
        <v>8</v>
      </c>
      <c r="F524" s="29" t="s">
        <v>233</v>
      </c>
      <c r="G524" s="29" t="s">
        <v>301</v>
      </c>
      <c r="H524" s="32">
        <v>3</v>
      </c>
      <c r="I524" s="32">
        <v>384.96</v>
      </c>
      <c r="J524" s="32">
        <v>1154.8800000000001</v>
      </c>
      <c r="K524" s="29"/>
      <c r="M524" s="29"/>
      <c r="N524" s="29"/>
      <c r="P524" s="29"/>
      <c r="Q524" s="29"/>
      <c r="S524" s="29"/>
      <c r="T524" s="29"/>
      <c r="V524" s="29"/>
      <c r="X524" s="29"/>
      <c r="Y524" s="29"/>
      <c r="Z524" s="29"/>
    </row>
    <row r="525" spans="1:26" ht="15" thickBot="1">
      <c r="A525" s="32" t="s">
        <v>452</v>
      </c>
      <c r="B525" s="29" t="s">
        <v>260</v>
      </c>
      <c r="C525" s="29" t="s">
        <v>231</v>
      </c>
      <c r="D525" s="29" t="s">
        <v>232</v>
      </c>
      <c r="E525" s="29" t="s">
        <v>6</v>
      </c>
      <c r="F525" s="29" t="s">
        <v>250</v>
      </c>
      <c r="G525" s="29" t="s">
        <v>277</v>
      </c>
      <c r="H525" s="32">
        <v>4</v>
      </c>
      <c r="I525" s="32">
        <v>3714.59</v>
      </c>
      <c r="J525" s="32">
        <v>14858.36</v>
      </c>
      <c r="K525" s="29"/>
      <c r="M525" s="29"/>
      <c r="N525" s="29"/>
      <c r="P525" s="29"/>
      <c r="Q525" s="29"/>
      <c r="S525" s="29"/>
      <c r="T525" s="29"/>
      <c r="V525" s="29"/>
      <c r="X525" s="29"/>
      <c r="Y525" s="29"/>
      <c r="Z525" s="29"/>
    </row>
    <row r="526" spans="1:26" ht="15" thickBot="1">
      <c r="A526" s="32" t="s">
        <v>453</v>
      </c>
      <c r="B526" s="29" t="s">
        <v>280</v>
      </c>
      <c r="C526" s="29" t="s">
        <v>241</v>
      </c>
      <c r="D526" s="29" t="s">
        <v>242</v>
      </c>
      <c r="E526" s="29" t="s">
        <v>8</v>
      </c>
      <c r="F526" s="29" t="s">
        <v>250</v>
      </c>
      <c r="G526" s="29" t="s">
        <v>293</v>
      </c>
      <c r="H526" s="32">
        <v>9</v>
      </c>
      <c r="I526" s="32">
        <v>1765.86</v>
      </c>
      <c r="J526" s="32">
        <v>15892.74</v>
      </c>
      <c r="K526" s="29"/>
      <c r="M526" s="29"/>
      <c r="N526" s="29"/>
      <c r="P526" s="29"/>
      <c r="Q526" s="29"/>
      <c r="S526" s="29"/>
      <c r="T526" s="29"/>
      <c r="V526" s="29"/>
      <c r="X526" s="29"/>
      <c r="Y526" s="29"/>
      <c r="Z526" s="29"/>
    </row>
    <row r="527" spans="1:26" ht="15" thickBot="1">
      <c r="A527" s="49">
        <v>45114</v>
      </c>
      <c r="B527" s="29" t="s">
        <v>230</v>
      </c>
      <c r="C527" s="29" t="s">
        <v>261</v>
      </c>
      <c r="D527" s="29" t="s">
        <v>247</v>
      </c>
      <c r="E527" s="29" t="s">
        <v>6</v>
      </c>
      <c r="F527" s="29" t="s">
        <v>250</v>
      </c>
      <c r="G527" s="29" t="s">
        <v>277</v>
      </c>
      <c r="H527" s="32">
        <v>8</v>
      </c>
      <c r="I527" s="32">
        <v>3069.86</v>
      </c>
      <c r="J527" s="32">
        <v>24558.880000000001</v>
      </c>
      <c r="K527" s="29"/>
      <c r="M527" s="29"/>
      <c r="N527" s="29"/>
      <c r="P527" s="29"/>
      <c r="Q527" s="29"/>
      <c r="S527" s="29"/>
      <c r="T527" s="29"/>
      <c r="V527" s="29"/>
      <c r="X527" s="29"/>
      <c r="Y527" s="29"/>
      <c r="Z527" s="29"/>
    </row>
    <row r="528" spans="1:26" ht="15" thickBot="1">
      <c r="A528" s="32" t="s">
        <v>380</v>
      </c>
      <c r="B528" s="29" t="s">
        <v>268</v>
      </c>
      <c r="C528" s="29" t="s">
        <v>281</v>
      </c>
      <c r="D528" s="29" t="s">
        <v>252</v>
      </c>
      <c r="E528" s="29" t="s">
        <v>5</v>
      </c>
      <c r="F528" s="29" t="s">
        <v>233</v>
      </c>
      <c r="G528" s="29" t="s">
        <v>234</v>
      </c>
      <c r="H528" s="32">
        <v>9</v>
      </c>
      <c r="I528" s="32">
        <v>1720.47</v>
      </c>
      <c r="J528" s="32">
        <v>15484.23</v>
      </c>
      <c r="K528" s="29"/>
      <c r="M528" s="29"/>
      <c r="N528" s="29"/>
      <c r="P528" s="29"/>
      <c r="Q528" s="29"/>
      <c r="S528" s="29"/>
      <c r="T528" s="29"/>
      <c r="V528" s="29"/>
      <c r="X528" s="29"/>
      <c r="Y528" s="29"/>
      <c r="Z528" s="29"/>
    </row>
    <row r="529" spans="1:26" ht="15" thickBot="1">
      <c r="A529" s="32" t="s">
        <v>454</v>
      </c>
      <c r="B529" s="29" t="s">
        <v>254</v>
      </c>
      <c r="C529" s="29" t="s">
        <v>258</v>
      </c>
      <c r="D529" s="29" t="s">
        <v>242</v>
      </c>
      <c r="E529" s="29" t="s">
        <v>8</v>
      </c>
      <c r="F529" s="29" t="s">
        <v>245</v>
      </c>
      <c r="G529" s="29" t="s">
        <v>266</v>
      </c>
      <c r="H529" s="32">
        <v>7</v>
      </c>
      <c r="I529" s="32">
        <v>3416.74</v>
      </c>
      <c r="J529" s="32">
        <v>23917.18</v>
      </c>
      <c r="K529" s="29"/>
      <c r="M529" s="29"/>
      <c r="N529" s="29"/>
      <c r="P529" s="29"/>
      <c r="Q529" s="29"/>
      <c r="S529" s="29"/>
      <c r="T529" s="29"/>
      <c r="V529" s="29"/>
      <c r="X529" s="29"/>
      <c r="Y529" s="29"/>
      <c r="Z529" s="29"/>
    </row>
    <row r="530" spans="1:26" ht="15" thickBot="1">
      <c r="A530" s="32" t="s">
        <v>411</v>
      </c>
      <c r="B530" s="29" t="s">
        <v>268</v>
      </c>
      <c r="C530" s="29" t="s">
        <v>258</v>
      </c>
      <c r="D530" s="29" t="s">
        <v>242</v>
      </c>
      <c r="E530" s="29" t="s">
        <v>8</v>
      </c>
      <c r="F530" s="29" t="s">
        <v>233</v>
      </c>
      <c r="G530" s="29" t="s">
        <v>234</v>
      </c>
      <c r="H530" s="32">
        <v>7</v>
      </c>
      <c r="I530" s="32">
        <v>4741.12</v>
      </c>
      <c r="J530" s="32">
        <v>33187.839999999997</v>
      </c>
      <c r="K530" s="29"/>
      <c r="M530" s="29"/>
      <c r="N530" s="29"/>
      <c r="P530" s="29"/>
      <c r="Q530" s="29"/>
      <c r="S530" s="29"/>
      <c r="T530" s="29"/>
      <c r="V530" s="29"/>
      <c r="X530" s="29"/>
      <c r="Y530" s="29"/>
      <c r="Z530" s="29"/>
    </row>
    <row r="531" spans="1:26" ht="15" thickBot="1">
      <c r="A531" s="49">
        <v>45205</v>
      </c>
      <c r="B531" s="29" t="s">
        <v>271</v>
      </c>
      <c r="C531" s="29" t="s">
        <v>281</v>
      </c>
      <c r="D531" s="29" t="s">
        <v>252</v>
      </c>
      <c r="E531" s="29" t="s">
        <v>5</v>
      </c>
      <c r="F531" s="29" t="s">
        <v>245</v>
      </c>
      <c r="G531" s="29" t="s">
        <v>269</v>
      </c>
      <c r="H531" s="32">
        <v>20</v>
      </c>
      <c r="I531" s="32">
        <v>2721.24</v>
      </c>
      <c r="J531" s="32">
        <v>54424.800000000003</v>
      </c>
      <c r="K531" s="29"/>
      <c r="M531" s="29"/>
      <c r="N531" s="29"/>
      <c r="P531" s="29"/>
      <c r="Q531" s="29"/>
      <c r="S531" s="29"/>
      <c r="T531" s="29"/>
      <c r="V531" s="29"/>
      <c r="X531" s="29"/>
      <c r="Y531" s="29"/>
      <c r="Z531" s="29"/>
    </row>
    <row r="532" spans="1:26" ht="15" thickBot="1">
      <c r="A532" s="32" t="s">
        <v>455</v>
      </c>
      <c r="B532" s="29" t="s">
        <v>260</v>
      </c>
      <c r="C532" s="29" t="s">
        <v>261</v>
      </c>
      <c r="D532" s="29" t="s">
        <v>247</v>
      </c>
      <c r="E532" s="29" t="s">
        <v>6</v>
      </c>
      <c r="F532" s="29" t="s">
        <v>259</v>
      </c>
      <c r="G532" s="29" t="s">
        <v>182</v>
      </c>
      <c r="H532" s="32">
        <v>4</v>
      </c>
      <c r="I532" s="32">
        <v>3751.49</v>
      </c>
      <c r="J532" s="32">
        <v>15005.96</v>
      </c>
      <c r="K532" s="29"/>
      <c r="M532" s="29"/>
      <c r="N532" s="29"/>
      <c r="P532" s="29"/>
      <c r="Q532" s="29"/>
      <c r="S532" s="29"/>
      <c r="T532" s="29"/>
      <c r="V532" s="29"/>
      <c r="X532" s="29"/>
      <c r="Y532" s="29"/>
      <c r="Z532" s="29"/>
    </row>
    <row r="533" spans="1:26" ht="15" thickBot="1">
      <c r="A533" s="32" t="s">
        <v>265</v>
      </c>
      <c r="B533" s="29" t="s">
        <v>280</v>
      </c>
      <c r="C533" s="29" t="s">
        <v>283</v>
      </c>
      <c r="D533" s="29" t="s">
        <v>242</v>
      </c>
      <c r="E533" s="29" t="s">
        <v>8</v>
      </c>
      <c r="F533" s="29" t="s">
        <v>245</v>
      </c>
      <c r="G533" s="29" t="s">
        <v>295</v>
      </c>
      <c r="H533" s="32">
        <v>19</v>
      </c>
      <c r="I533" s="32">
        <v>4513.6000000000004</v>
      </c>
      <c r="J533" s="32">
        <v>85758.399999999994</v>
      </c>
      <c r="K533" s="29"/>
      <c r="M533" s="29"/>
      <c r="N533" s="29"/>
      <c r="P533" s="29"/>
      <c r="Q533" s="29"/>
      <c r="S533" s="29"/>
      <c r="T533" s="29"/>
      <c r="V533" s="29"/>
      <c r="X533" s="29"/>
      <c r="Y533" s="29"/>
      <c r="Z533" s="29"/>
    </row>
    <row r="534" spans="1:26" ht="15" thickBot="1">
      <c r="A534" s="49">
        <v>45231</v>
      </c>
      <c r="B534" s="29" t="s">
        <v>271</v>
      </c>
      <c r="C534" s="29" t="s">
        <v>236</v>
      </c>
      <c r="D534" s="29" t="s">
        <v>237</v>
      </c>
      <c r="E534" s="29" t="s">
        <v>8</v>
      </c>
      <c r="F534" s="29" t="s">
        <v>233</v>
      </c>
      <c r="G534" s="29" t="s">
        <v>304</v>
      </c>
      <c r="H534" s="32">
        <v>11</v>
      </c>
      <c r="I534" s="32">
        <v>3514.12</v>
      </c>
      <c r="J534" s="32">
        <v>38655.32</v>
      </c>
      <c r="K534" s="29"/>
      <c r="M534" s="29"/>
      <c r="N534" s="29"/>
      <c r="P534" s="29"/>
      <c r="Q534" s="29"/>
      <c r="S534" s="29"/>
      <c r="T534" s="29"/>
      <c r="V534" s="29"/>
      <c r="X534" s="29"/>
      <c r="Y534" s="29"/>
      <c r="Z534" s="29"/>
    </row>
    <row r="535" spans="1:26" ht="15" thickBot="1">
      <c r="A535" s="32" t="s">
        <v>448</v>
      </c>
      <c r="B535" s="29" t="s">
        <v>268</v>
      </c>
      <c r="C535" s="29" t="s">
        <v>258</v>
      </c>
      <c r="D535" s="29" t="s">
        <v>242</v>
      </c>
      <c r="E535" s="29" t="s">
        <v>8</v>
      </c>
      <c r="F535" s="29" t="s">
        <v>233</v>
      </c>
      <c r="G535" s="29" t="s">
        <v>287</v>
      </c>
      <c r="H535" s="32">
        <v>13</v>
      </c>
      <c r="I535" s="32">
        <v>2109.15</v>
      </c>
      <c r="J535" s="32">
        <v>27418.95</v>
      </c>
      <c r="K535" s="29"/>
      <c r="M535" s="29"/>
      <c r="N535" s="29"/>
      <c r="P535" s="29"/>
      <c r="Q535" s="29"/>
      <c r="S535" s="29"/>
      <c r="T535" s="29"/>
      <c r="V535" s="29"/>
      <c r="X535" s="29"/>
      <c r="Y535" s="29"/>
      <c r="Z535" s="29"/>
    </row>
    <row r="536" spans="1:26" ht="15" thickBot="1">
      <c r="A536" s="32" t="s">
        <v>447</v>
      </c>
      <c r="B536" s="29" t="s">
        <v>235</v>
      </c>
      <c r="C536" s="29" t="s">
        <v>236</v>
      </c>
      <c r="D536" s="29" t="s">
        <v>237</v>
      </c>
      <c r="E536" s="29" t="s">
        <v>8</v>
      </c>
      <c r="F536" s="29" t="s">
        <v>245</v>
      </c>
      <c r="G536" s="29" t="s">
        <v>266</v>
      </c>
      <c r="H536" s="32">
        <v>16</v>
      </c>
      <c r="I536" s="32">
        <v>4090.26</v>
      </c>
      <c r="J536" s="32">
        <v>65444.160000000003</v>
      </c>
      <c r="K536" s="29"/>
      <c r="M536" s="29"/>
      <c r="N536" s="29"/>
      <c r="P536" s="29"/>
      <c r="Q536" s="29"/>
      <c r="S536" s="29"/>
      <c r="T536" s="29"/>
      <c r="V536" s="29"/>
      <c r="X536" s="29"/>
      <c r="Y536" s="29"/>
      <c r="Z536" s="29"/>
    </row>
    <row r="537" spans="1:26" ht="15" thickBot="1">
      <c r="A537" s="32" t="s">
        <v>456</v>
      </c>
      <c r="B537" s="29" t="s">
        <v>240</v>
      </c>
      <c r="C537" s="29" t="s">
        <v>316</v>
      </c>
      <c r="D537" s="29" t="s">
        <v>247</v>
      </c>
      <c r="E537" s="29" t="s">
        <v>6</v>
      </c>
      <c r="F537" s="29" t="s">
        <v>245</v>
      </c>
      <c r="G537" s="29" t="s">
        <v>269</v>
      </c>
      <c r="H537" s="32">
        <v>12</v>
      </c>
      <c r="I537" s="32">
        <v>219.32</v>
      </c>
      <c r="J537" s="32">
        <v>2631.84</v>
      </c>
      <c r="K537" s="29"/>
      <c r="M537" s="29"/>
      <c r="N537" s="29"/>
      <c r="P537" s="29"/>
      <c r="Q537" s="29"/>
      <c r="S537" s="29"/>
      <c r="T537" s="29"/>
      <c r="V537" s="29"/>
      <c r="X537" s="29"/>
      <c r="Y537" s="29"/>
      <c r="Z537" s="29"/>
    </row>
    <row r="538" spans="1:26" ht="15" thickBot="1">
      <c r="A538" s="32" t="s">
        <v>288</v>
      </c>
      <c r="B538" s="29" t="s">
        <v>230</v>
      </c>
      <c r="C538" s="29" t="s">
        <v>281</v>
      </c>
      <c r="D538" s="29" t="s">
        <v>252</v>
      </c>
      <c r="E538" s="29" t="s">
        <v>5</v>
      </c>
      <c r="F538" s="29" t="s">
        <v>238</v>
      </c>
      <c r="G538" s="29" t="s">
        <v>296</v>
      </c>
      <c r="H538" s="32">
        <v>14</v>
      </c>
      <c r="I538" s="32">
        <v>264.77</v>
      </c>
      <c r="J538" s="32">
        <v>3706.78</v>
      </c>
      <c r="K538" s="29"/>
      <c r="M538" s="29"/>
      <c r="N538" s="29"/>
      <c r="P538" s="29"/>
      <c r="Q538" s="29"/>
      <c r="S538" s="29"/>
      <c r="T538" s="29"/>
      <c r="V538" s="29"/>
      <c r="X538" s="29"/>
      <c r="Y538" s="29"/>
      <c r="Z538" s="29"/>
    </row>
    <row r="539" spans="1:26" ht="15" thickBot="1">
      <c r="A539" s="49">
        <v>44931</v>
      </c>
      <c r="B539" s="29" t="s">
        <v>271</v>
      </c>
      <c r="C539" s="29" t="s">
        <v>244</v>
      </c>
      <c r="D539" s="29" t="s">
        <v>237</v>
      </c>
      <c r="E539" s="29" t="s">
        <v>8</v>
      </c>
      <c r="F539" s="29" t="s">
        <v>245</v>
      </c>
      <c r="G539" s="29" t="s">
        <v>269</v>
      </c>
      <c r="H539" s="32">
        <v>9</v>
      </c>
      <c r="I539" s="32">
        <v>2624.88</v>
      </c>
      <c r="J539" s="32">
        <v>23623.919999999998</v>
      </c>
      <c r="K539" s="29"/>
      <c r="M539" s="29"/>
      <c r="N539" s="29"/>
      <c r="P539" s="29"/>
      <c r="Q539" s="29"/>
      <c r="S539" s="29"/>
      <c r="T539" s="29"/>
      <c r="V539" s="29"/>
      <c r="X539" s="29"/>
      <c r="Y539" s="29"/>
      <c r="Z539" s="29"/>
    </row>
    <row r="540" spans="1:26" ht="15" thickBot="1">
      <c r="A540" s="49">
        <v>45022</v>
      </c>
      <c r="B540" s="29" t="s">
        <v>257</v>
      </c>
      <c r="C540" s="29" t="s">
        <v>276</v>
      </c>
      <c r="D540" s="29" t="s">
        <v>247</v>
      </c>
      <c r="E540" s="29" t="s">
        <v>6</v>
      </c>
      <c r="F540" s="29" t="s">
        <v>233</v>
      </c>
      <c r="G540" s="29" t="s">
        <v>301</v>
      </c>
      <c r="H540" s="32">
        <v>15</v>
      </c>
      <c r="I540" s="32">
        <v>1063.8800000000001</v>
      </c>
      <c r="J540" s="32">
        <v>15958.2</v>
      </c>
      <c r="K540" s="29"/>
      <c r="M540" s="29"/>
      <c r="N540" s="29"/>
      <c r="P540" s="29"/>
      <c r="Q540" s="29"/>
      <c r="S540" s="29"/>
      <c r="T540" s="29"/>
      <c r="V540" s="29"/>
      <c r="X540" s="29"/>
      <c r="Y540" s="29"/>
      <c r="Z540" s="29"/>
    </row>
    <row r="541" spans="1:26" ht="15" thickBot="1">
      <c r="A541" s="32" t="s">
        <v>452</v>
      </c>
      <c r="B541" s="29" t="s">
        <v>271</v>
      </c>
      <c r="C541" s="29" t="s">
        <v>255</v>
      </c>
      <c r="D541" s="29" t="s">
        <v>237</v>
      </c>
      <c r="E541" s="29" t="s">
        <v>8</v>
      </c>
      <c r="F541" s="29" t="s">
        <v>245</v>
      </c>
      <c r="G541" s="29" t="s">
        <v>269</v>
      </c>
      <c r="H541" s="32">
        <v>2</v>
      </c>
      <c r="I541" s="32">
        <v>4277.8999999999996</v>
      </c>
      <c r="J541" s="32">
        <v>8555.7999999999993</v>
      </c>
      <c r="K541" s="29"/>
      <c r="M541" s="29"/>
      <c r="N541" s="29"/>
      <c r="P541" s="29"/>
      <c r="Q541" s="29"/>
      <c r="S541" s="29"/>
      <c r="T541" s="29"/>
      <c r="V541" s="29"/>
      <c r="X541" s="29"/>
      <c r="Y541" s="29"/>
      <c r="Z541" s="29"/>
    </row>
    <row r="542" spans="1:26" ht="15" thickBot="1">
      <c r="A542" s="32" t="s">
        <v>457</v>
      </c>
      <c r="B542" s="29" t="s">
        <v>230</v>
      </c>
      <c r="C542" s="29" t="s">
        <v>261</v>
      </c>
      <c r="D542" s="29" t="s">
        <v>247</v>
      </c>
      <c r="E542" s="29" t="s">
        <v>6</v>
      </c>
      <c r="F542" s="29" t="s">
        <v>245</v>
      </c>
      <c r="G542" s="29" t="s">
        <v>295</v>
      </c>
      <c r="H542" s="32">
        <v>13</v>
      </c>
      <c r="I542" s="32">
        <v>1762.69</v>
      </c>
      <c r="J542" s="32">
        <v>22914.97</v>
      </c>
      <c r="K542" s="29"/>
      <c r="M542" s="29"/>
      <c r="N542" s="29"/>
      <c r="P542" s="29"/>
      <c r="Q542" s="29"/>
      <c r="S542" s="29"/>
      <c r="T542" s="29"/>
      <c r="V542" s="29"/>
      <c r="X542" s="29"/>
      <c r="Y542" s="29"/>
      <c r="Z542" s="29"/>
    </row>
    <row r="543" spans="1:26" ht="15" thickBot="1">
      <c r="A543" s="32" t="s">
        <v>321</v>
      </c>
      <c r="B543" s="29" t="s">
        <v>254</v>
      </c>
      <c r="C543" s="29" t="s">
        <v>258</v>
      </c>
      <c r="D543" s="29" t="s">
        <v>242</v>
      </c>
      <c r="E543" s="29" t="s">
        <v>8</v>
      </c>
      <c r="F543" s="29" t="s">
        <v>245</v>
      </c>
      <c r="G543" s="29" t="s">
        <v>295</v>
      </c>
      <c r="H543" s="32">
        <v>6</v>
      </c>
      <c r="I543" s="32">
        <v>2069.96</v>
      </c>
      <c r="J543" s="32">
        <v>12419.76</v>
      </c>
      <c r="K543" s="29"/>
      <c r="M543" s="29"/>
      <c r="N543" s="29"/>
      <c r="P543" s="29"/>
      <c r="Q543" s="29"/>
      <c r="S543" s="29"/>
      <c r="T543" s="29"/>
      <c r="V543" s="29"/>
      <c r="X543" s="29"/>
      <c r="Y543" s="29"/>
      <c r="Z543" s="29"/>
    </row>
    <row r="544" spans="1:26" ht="15" thickBot="1">
      <c r="A544" s="32" t="s">
        <v>444</v>
      </c>
      <c r="B544" s="29" t="s">
        <v>235</v>
      </c>
      <c r="C544" s="29" t="s">
        <v>313</v>
      </c>
      <c r="D544" s="29" t="s">
        <v>252</v>
      </c>
      <c r="E544" s="29" t="s">
        <v>5</v>
      </c>
      <c r="F544" s="29" t="s">
        <v>245</v>
      </c>
      <c r="G544" s="29" t="s">
        <v>269</v>
      </c>
      <c r="H544" s="32">
        <v>19</v>
      </c>
      <c r="I544" s="32">
        <v>3822.54</v>
      </c>
      <c r="J544" s="32">
        <v>72628.259999999995</v>
      </c>
      <c r="K544" s="29"/>
      <c r="M544" s="29"/>
      <c r="N544" s="29"/>
      <c r="P544" s="29"/>
      <c r="Q544" s="29"/>
      <c r="S544" s="29"/>
      <c r="T544" s="29"/>
      <c r="V544" s="29"/>
      <c r="X544" s="29"/>
      <c r="Y544" s="29"/>
      <c r="Z544" s="29"/>
    </row>
    <row r="545" spans="1:26" ht="15" thickBot="1">
      <c r="A545" s="49">
        <v>45087</v>
      </c>
      <c r="B545" s="29" t="s">
        <v>235</v>
      </c>
      <c r="C545" s="29" t="s">
        <v>313</v>
      </c>
      <c r="D545" s="29" t="s">
        <v>252</v>
      </c>
      <c r="E545" s="29" t="s">
        <v>5</v>
      </c>
      <c r="F545" s="29" t="s">
        <v>250</v>
      </c>
      <c r="G545" s="29" t="s">
        <v>284</v>
      </c>
      <c r="H545" s="32">
        <v>16</v>
      </c>
      <c r="I545" s="32">
        <v>242.23</v>
      </c>
      <c r="J545" s="32">
        <v>3875.68</v>
      </c>
      <c r="K545" s="29"/>
      <c r="M545" s="29"/>
      <c r="N545" s="29"/>
      <c r="P545" s="29"/>
      <c r="Q545" s="29"/>
      <c r="S545" s="29"/>
      <c r="T545" s="29"/>
      <c r="V545" s="29"/>
      <c r="X545" s="29"/>
      <c r="Y545" s="29"/>
      <c r="Z545" s="29"/>
    </row>
    <row r="546" spans="1:26" ht="15" thickBot="1">
      <c r="A546" s="32" t="s">
        <v>420</v>
      </c>
      <c r="B546" s="29" t="s">
        <v>257</v>
      </c>
      <c r="C546" s="29" t="s">
        <v>276</v>
      </c>
      <c r="D546" s="29" t="s">
        <v>247</v>
      </c>
      <c r="E546" s="29" t="s">
        <v>6</v>
      </c>
      <c r="F546" s="29" t="s">
        <v>238</v>
      </c>
      <c r="G546" s="29" t="s">
        <v>256</v>
      </c>
      <c r="H546" s="32">
        <v>12</v>
      </c>
      <c r="I546" s="32">
        <v>2290.7600000000002</v>
      </c>
      <c r="J546" s="32">
        <v>27489.119999999999</v>
      </c>
      <c r="K546" s="29"/>
      <c r="M546" s="29"/>
      <c r="N546" s="29"/>
      <c r="P546" s="29"/>
      <c r="Q546" s="29"/>
      <c r="S546" s="29"/>
      <c r="T546" s="29"/>
      <c r="V546" s="29"/>
      <c r="X546" s="29"/>
      <c r="Y546" s="29"/>
      <c r="Z546" s="29"/>
    </row>
    <row r="547" spans="1:26" ht="15" thickBot="1">
      <c r="A547" s="32" t="s">
        <v>439</v>
      </c>
      <c r="B547" s="29" t="s">
        <v>280</v>
      </c>
      <c r="C547" s="29" t="s">
        <v>249</v>
      </c>
      <c r="D547" s="29" t="s">
        <v>232</v>
      </c>
      <c r="E547" s="29" t="s">
        <v>6</v>
      </c>
      <c r="F547" s="29" t="s">
        <v>245</v>
      </c>
      <c r="G547" s="29" t="s">
        <v>269</v>
      </c>
      <c r="H547" s="32">
        <v>18</v>
      </c>
      <c r="I547" s="32">
        <v>1957.78</v>
      </c>
      <c r="J547" s="32">
        <v>35240.04</v>
      </c>
      <c r="K547" s="29"/>
      <c r="M547" s="29"/>
      <c r="N547" s="29"/>
      <c r="P547" s="29"/>
      <c r="Q547" s="29"/>
      <c r="S547" s="29"/>
      <c r="T547" s="29"/>
      <c r="V547" s="29"/>
      <c r="X547" s="29"/>
      <c r="Y547" s="29"/>
      <c r="Z547" s="29"/>
    </row>
    <row r="548" spans="1:26" ht="15" thickBot="1">
      <c r="A548" s="49">
        <v>45088</v>
      </c>
      <c r="B548" s="29" t="s">
        <v>268</v>
      </c>
      <c r="C548" s="29" t="s">
        <v>249</v>
      </c>
      <c r="D548" s="29" t="s">
        <v>232</v>
      </c>
      <c r="E548" s="29" t="s">
        <v>6</v>
      </c>
      <c r="F548" s="29" t="s">
        <v>238</v>
      </c>
      <c r="G548" s="29" t="s">
        <v>303</v>
      </c>
      <c r="H548" s="32">
        <v>1</v>
      </c>
      <c r="I548" s="32">
        <v>4370.57</v>
      </c>
      <c r="J548" s="32">
        <v>4370.57</v>
      </c>
      <c r="K548" s="29"/>
      <c r="M548" s="29"/>
      <c r="N548" s="29"/>
      <c r="P548" s="29"/>
      <c r="Q548" s="29"/>
      <c r="S548" s="29"/>
      <c r="T548" s="29"/>
      <c r="V548" s="29"/>
      <c r="X548" s="29"/>
      <c r="Y548" s="29"/>
      <c r="Z548" s="29"/>
    </row>
    <row r="549" spans="1:26" ht="15" thickBot="1">
      <c r="A549" s="32" t="s">
        <v>450</v>
      </c>
      <c r="B549" s="29" t="s">
        <v>254</v>
      </c>
      <c r="C549" s="29" t="s">
        <v>313</v>
      </c>
      <c r="D549" s="29" t="s">
        <v>252</v>
      </c>
      <c r="E549" s="29" t="s">
        <v>5</v>
      </c>
      <c r="F549" s="29" t="s">
        <v>250</v>
      </c>
      <c r="G549" s="29" t="s">
        <v>277</v>
      </c>
      <c r="H549" s="32">
        <v>3</v>
      </c>
      <c r="I549" s="32">
        <v>1894.71</v>
      </c>
      <c r="J549" s="32">
        <v>5684.13</v>
      </c>
      <c r="K549" s="29"/>
      <c r="M549" s="29"/>
      <c r="N549" s="29"/>
      <c r="P549" s="29"/>
      <c r="Q549" s="29"/>
      <c r="S549" s="29"/>
      <c r="T549" s="29"/>
      <c r="V549" s="29"/>
      <c r="X549" s="29"/>
      <c r="Y549" s="29"/>
      <c r="Z549" s="29"/>
    </row>
    <row r="550" spans="1:26" ht="15" thickBot="1">
      <c r="A550" s="49">
        <v>45271</v>
      </c>
      <c r="B550" s="29" t="s">
        <v>240</v>
      </c>
      <c r="C550" s="29" t="s">
        <v>276</v>
      </c>
      <c r="D550" s="29" t="s">
        <v>247</v>
      </c>
      <c r="E550" s="29" t="s">
        <v>6</v>
      </c>
      <c r="F550" s="29" t="s">
        <v>250</v>
      </c>
      <c r="G550" s="29" t="s">
        <v>293</v>
      </c>
      <c r="H550" s="32">
        <v>14</v>
      </c>
      <c r="I550" s="32">
        <v>367.1</v>
      </c>
      <c r="J550" s="32">
        <v>5139.3999999999996</v>
      </c>
      <c r="K550" s="29"/>
      <c r="M550" s="29"/>
      <c r="N550" s="29"/>
      <c r="P550" s="29"/>
      <c r="Q550" s="29"/>
      <c r="S550" s="29"/>
      <c r="T550" s="29"/>
      <c r="V550" s="29"/>
      <c r="X550" s="29"/>
      <c r="Y550" s="29"/>
      <c r="Z550" s="29"/>
    </row>
    <row r="551" spans="1:26" ht="15" thickBot="1">
      <c r="A551" s="32" t="s">
        <v>455</v>
      </c>
      <c r="B551" s="29" t="s">
        <v>248</v>
      </c>
      <c r="C551" s="29" t="s">
        <v>316</v>
      </c>
      <c r="D551" s="29" t="s">
        <v>247</v>
      </c>
      <c r="E551" s="29" t="s">
        <v>6</v>
      </c>
      <c r="F551" s="29" t="s">
        <v>259</v>
      </c>
      <c r="G551" s="29" t="s">
        <v>179</v>
      </c>
      <c r="H551" s="32">
        <v>10</v>
      </c>
      <c r="I551" s="32">
        <v>4678.49</v>
      </c>
      <c r="J551" s="32">
        <v>46784.9</v>
      </c>
      <c r="K551" s="29"/>
      <c r="M551" s="29"/>
      <c r="N551" s="29"/>
      <c r="P551" s="29"/>
      <c r="Q551" s="29"/>
      <c r="S551" s="29"/>
      <c r="T551" s="29"/>
      <c r="V551" s="29"/>
      <c r="X551" s="29"/>
      <c r="Y551" s="29"/>
      <c r="Z551" s="29"/>
    </row>
    <row r="552" spans="1:26" ht="15" thickBot="1">
      <c r="A552" s="49">
        <v>45201</v>
      </c>
      <c r="B552" s="29" t="s">
        <v>235</v>
      </c>
      <c r="C552" s="29" t="s">
        <v>281</v>
      </c>
      <c r="D552" s="29" t="s">
        <v>252</v>
      </c>
      <c r="E552" s="29" t="s">
        <v>5</v>
      </c>
      <c r="F552" s="29" t="s">
        <v>250</v>
      </c>
      <c r="G552" s="29" t="s">
        <v>284</v>
      </c>
      <c r="H552" s="32">
        <v>12</v>
      </c>
      <c r="I552" s="32">
        <v>1020.42</v>
      </c>
      <c r="J552" s="32">
        <v>12245.04</v>
      </c>
      <c r="K552" s="29"/>
      <c r="M552" s="29"/>
      <c r="N552" s="29"/>
      <c r="P552" s="29"/>
      <c r="Q552" s="29"/>
      <c r="S552" s="29"/>
      <c r="T552" s="29"/>
      <c r="V552" s="29"/>
      <c r="X552" s="29"/>
      <c r="Y552" s="29"/>
      <c r="Z552" s="29"/>
    </row>
    <row r="553" spans="1:26" ht="15" thickBot="1">
      <c r="A553" s="32" t="s">
        <v>450</v>
      </c>
      <c r="B553" s="29" t="s">
        <v>254</v>
      </c>
      <c r="C553" s="29" t="s">
        <v>241</v>
      </c>
      <c r="D553" s="29" t="s">
        <v>242</v>
      </c>
      <c r="E553" s="29" t="s">
        <v>8</v>
      </c>
      <c r="F553" s="29" t="s">
        <v>259</v>
      </c>
      <c r="G553" s="29" t="s">
        <v>182</v>
      </c>
      <c r="H553" s="32">
        <v>15</v>
      </c>
      <c r="I553" s="32">
        <v>1669.04</v>
      </c>
      <c r="J553" s="32">
        <v>25035.599999999999</v>
      </c>
      <c r="K553" s="29"/>
      <c r="M553" s="29"/>
      <c r="N553" s="29"/>
      <c r="P553" s="29"/>
      <c r="Q553" s="29"/>
      <c r="S553" s="29"/>
      <c r="T553" s="29"/>
      <c r="V553" s="29"/>
      <c r="X553" s="29"/>
      <c r="Y553" s="29"/>
      <c r="Z553" s="29"/>
    </row>
    <row r="554" spans="1:26" ht="15" thickBot="1">
      <c r="A554" s="32" t="s">
        <v>411</v>
      </c>
      <c r="B554" s="29" t="s">
        <v>271</v>
      </c>
      <c r="C554" s="29" t="s">
        <v>274</v>
      </c>
      <c r="D554" s="29" t="s">
        <v>232</v>
      </c>
      <c r="E554" s="29" t="s">
        <v>6</v>
      </c>
      <c r="F554" s="29" t="s">
        <v>238</v>
      </c>
      <c r="G554" s="29" t="s">
        <v>303</v>
      </c>
      <c r="H554" s="32">
        <v>18</v>
      </c>
      <c r="I554" s="32">
        <v>138.01</v>
      </c>
      <c r="J554" s="32">
        <v>2484.1799999999998</v>
      </c>
      <c r="K554" s="29"/>
      <c r="M554" s="29"/>
      <c r="N554" s="29"/>
      <c r="P554" s="29"/>
      <c r="Q554" s="29"/>
      <c r="S554" s="29"/>
      <c r="T554" s="29"/>
      <c r="V554" s="29"/>
      <c r="X554" s="29"/>
      <c r="Y554" s="29"/>
      <c r="Z554" s="29"/>
    </row>
    <row r="555" spans="1:26" ht="15" thickBot="1">
      <c r="A555" s="32" t="s">
        <v>449</v>
      </c>
      <c r="B555" s="29" t="s">
        <v>271</v>
      </c>
      <c r="C555" s="29" t="s">
        <v>261</v>
      </c>
      <c r="D555" s="29" t="s">
        <v>247</v>
      </c>
      <c r="E555" s="29" t="s">
        <v>6</v>
      </c>
      <c r="F555" s="29" t="s">
        <v>238</v>
      </c>
      <c r="G555" s="29" t="s">
        <v>239</v>
      </c>
      <c r="H555" s="32">
        <v>6</v>
      </c>
      <c r="I555" s="32">
        <v>3847.76</v>
      </c>
      <c r="J555" s="32">
        <v>23086.560000000001</v>
      </c>
      <c r="K555" s="29"/>
      <c r="M555" s="29"/>
      <c r="N555" s="29"/>
      <c r="P555" s="29"/>
      <c r="Q555" s="29"/>
      <c r="S555" s="29"/>
      <c r="T555" s="29"/>
      <c r="V555" s="29"/>
      <c r="X555" s="29"/>
      <c r="Y555" s="29"/>
      <c r="Z555" s="29"/>
    </row>
    <row r="556" spans="1:26" ht="15" thickBot="1">
      <c r="A556" s="49">
        <v>45177</v>
      </c>
      <c r="B556" s="29" t="s">
        <v>268</v>
      </c>
      <c r="C556" s="29" t="s">
        <v>249</v>
      </c>
      <c r="D556" s="29" t="s">
        <v>232</v>
      </c>
      <c r="E556" s="29" t="s">
        <v>6</v>
      </c>
      <c r="F556" s="29" t="s">
        <v>250</v>
      </c>
      <c r="G556" s="29" t="s">
        <v>251</v>
      </c>
      <c r="H556" s="32">
        <v>4</v>
      </c>
      <c r="I556" s="32">
        <v>3246.52</v>
      </c>
      <c r="J556" s="32">
        <v>12986.08</v>
      </c>
      <c r="K556" s="29"/>
      <c r="M556" s="29"/>
      <c r="N556" s="29"/>
      <c r="P556" s="29"/>
      <c r="Q556" s="29"/>
      <c r="S556" s="29"/>
      <c r="T556" s="29"/>
      <c r="V556" s="29"/>
      <c r="X556" s="29"/>
      <c r="Y556" s="29"/>
      <c r="Z556" s="29"/>
    </row>
    <row r="557" spans="1:26" ht="15" thickBot="1">
      <c r="A557" s="32" t="s">
        <v>345</v>
      </c>
      <c r="B557" s="29" t="s">
        <v>280</v>
      </c>
      <c r="C557" s="29" t="s">
        <v>313</v>
      </c>
      <c r="D557" s="29" t="s">
        <v>252</v>
      </c>
      <c r="E557" s="29" t="s">
        <v>5</v>
      </c>
      <c r="F557" s="29" t="s">
        <v>238</v>
      </c>
      <c r="G557" s="29" t="s">
        <v>296</v>
      </c>
      <c r="H557" s="32">
        <v>14</v>
      </c>
      <c r="I557" s="32">
        <v>569.91</v>
      </c>
      <c r="J557" s="32">
        <v>7978.74</v>
      </c>
      <c r="K557" s="29"/>
      <c r="M557" s="29"/>
      <c r="N557" s="29"/>
      <c r="P557" s="29"/>
      <c r="Q557" s="29"/>
      <c r="S557" s="29"/>
      <c r="T557" s="29"/>
      <c r="V557" s="29"/>
      <c r="X557" s="29"/>
      <c r="Y557" s="29"/>
      <c r="Z557" s="29"/>
    </row>
    <row r="558" spans="1:26" ht="15" thickBot="1">
      <c r="A558" s="49">
        <v>45261</v>
      </c>
      <c r="B558" s="29" t="s">
        <v>260</v>
      </c>
      <c r="C558" s="29" t="s">
        <v>255</v>
      </c>
      <c r="D558" s="29" t="s">
        <v>237</v>
      </c>
      <c r="E558" s="29" t="s">
        <v>8</v>
      </c>
      <c r="F558" s="29" t="s">
        <v>259</v>
      </c>
      <c r="G558" s="29" t="s">
        <v>182</v>
      </c>
      <c r="H558" s="32">
        <v>15</v>
      </c>
      <c r="I558" s="32">
        <v>4316.17</v>
      </c>
      <c r="J558" s="32">
        <v>64742.55</v>
      </c>
      <c r="K558" s="29"/>
      <c r="M558" s="29"/>
      <c r="N558" s="29"/>
      <c r="P558" s="29"/>
      <c r="Q558" s="29"/>
      <c r="S558" s="29"/>
      <c r="T558" s="29"/>
      <c r="V558" s="29"/>
      <c r="X558" s="29"/>
      <c r="Y558" s="29"/>
      <c r="Z558" s="29"/>
    </row>
    <row r="559" spans="1:26" ht="15" thickBot="1">
      <c r="A559" s="32" t="s">
        <v>414</v>
      </c>
      <c r="B559" s="29" t="s">
        <v>235</v>
      </c>
      <c r="C559" s="29" t="s">
        <v>255</v>
      </c>
      <c r="D559" s="29" t="s">
        <v>237</v>
      </c>
      <c r="E559" s="29" t="s">
        <v>8</v>
      </c>
      <c r="F559" s="29" t="s">
        <v>245</v>
      </c>
      <c r="G559" s="29" t="s">
        <v>246</v>
      </c>
      <c r="H559" s="32">
        <v>17</v>
      </c>
      <c r="I559" s="32">
        <v>2209.62</v>
      </c>
      <c r="J559" s="32">
        <v>37563.54</v>
      </c>
      <c r="K559" s="29"/>
      <c r="M559" s="29"/>
      <c r="N559" s="29"/>
      <c r="P559" s="29"/>
      <c r="Q559" s="29"/>
      <c r="S559" s="29"/>
      <c r="T559" s="29"/>
      <c r="V559" s="29"/>
      <c r="X559" s="29"/>
      <c r="Y559" s="29"/>
      <c r="Z559" s="29"/>
    </row>
    <row r="560" spans="1:26" ht="15" thickBot="1">
      <c r="A560" s="49">
        <v>45117</v>
      </c>
      <c r="B560" s="29" t="s">
        <v>260</v>
      </c>
      <c r="C560" s="29" t="s">
        <v>273</v>
      </c>
      <c r="D560" s="29" t="s">
        <v>252</v>
      </c>
      <c r="E560" s="29" t="s">
        <v>5</v>
      </c>
      <c r="F560" s="29" t="s">
        <v>233</v>
      </c>
      <c r="G560" s="29" t="s">
        <v>301</v>
      </c>
      <c r="H560" s="32">
        <v>16</v>
      </c>
      <c r="I560" s="32">
        <v>3296.61</v>
      </c>
      <c r="J560" s="32">
        <v>52745.760000000002</v>
      </c>
      <c r="K560" s="29"/>
      <c r="M560" s="29"/>
      <c r="N560" s="29"/>
      <c r="P560" s="29"/>
      <c r="Q560" s="29"/>
      <c r="S560" s="29"/>
      <c r="T560" s="29"/>
      <c r="V560" s="29"/>
      <c r="X560" s="29"/>
      <c r="Y560" s="29"/>
      <c r="Z560" s="29"/>
    </row>
    <row r="561" spans="1:26" ht="15" thickBot="1">
      <c r="A561" s="49">
        <v>44932</v>
      </c>
      <c r="B561" s="29" t="s">
        <v>230</v>
      </c>
      <c r="C561" s="29" t="s">
        <v>313</v>
      </c>
      <c r="D561" s="29" t="s">
        <v>252</v>
      </c>
      <c r="E561" s="29" t="s">
        <v>5</v>
      </c>
      <c r="F561" s="29" t="s">
        <v>233</v>
      </c>
      <c r="G561" s="29" t="s">
        <v>234</v>
      </c>
      <c r="H561" s="32">
        <v>13</v>
      </c>
      <c r="I561" s="32">
        <v>523.83000000000004</v>
      </c>
      <c r="J561" s="32">
        <v>6809.79</v>
      </c>
      <c r="K561" s="29"/>
      <c r="M561" s="29"/>
      <c r="N561" s="29"/>
      <c r="P561" s="29"/>
      <c r="Q561" s="29"/>
      <c r="S561" s="29"/>
      <c r="T561" s="29"/>
      <c r="V561" s="29"/>
      <c r="X561" s="29"/>
      <c r="Y561" s="29"/>
      <c r="Z561" s="29"/>
    </row>
    <row r="562" spans="1:26" ht="15" thickBot="1">
      <c r="A562" s="32" t="s">
        <v>398</v>
      </c>
      <c r="B562" s="29" t="s">
        <v>254</v>
      </c>
      <c r="C562" s="29" t="s">
        <v>241</v>
      </c>
      <c r="D562" s="29" t="s">
        <v>242</v>
      </c>
      <c r="E562" s="29" t="s">
        <v>8</v>
      </c>
      <c r="F562" s="29" t="s">
        <v>259</v>
      </c>
      <c r="G562" s="29" t="s">
        <v>182</v>
      </c>
      <c r="H562" s="32">
        <v>3</v>
      </c>
      <c r="I562" s="32">
        <v>916.53</v>
      </c>
      <c r="J562" s="32">
        <v>2749.59</v>
      </c>
      <c r="K562" s="29"/>
      <c r="M562" s="29"/>
      <c r="N562" s="29"/>
      <c r="P562" s="29"/>
      <c r="Q562" s="29"/>
      <c r="S562" s="29"/>
      <c r="T562" s="29"/>
      <c r="V562" s="29"/>
      <c r="X562" s="29"/>
      <c r="Y562" s="29"/>
      <c r="Z562" s="29"/>
    </row>
    <row r="563" spans="1:26" ht="15" thickBot="1">
      <c r="A563" s="49">
        <v>45266</v>
      </c>
      <c r="B563" s="29" t="s">
        <v>230</v>
      </c>
      <c r="C563" s="29" t="s">
        <v>274</v>
      </c>
      <c r="D563" s="29" t="s">
        <v>232</v>
      </c>
      <c r="E563" s="29" t="s">
        <v>6</v>
      </c>
      <c r="F563" s="29" t="s">
        <v>245</v>
      </c>
      <c r="G563" s="29" t="s">
        <v>269</v>
      </c>
      <c r="H563" s="32">
        <v>13</v>
      </c>
      <c r="I563" s="32">
        <v>1836.55</v>
      </c>
      <c r="J563" s="32">
        <v>23875.15</v>
      </c>
      <c r="K563" s="29"/>
      <c r="M563" s="29"/>
      <c r="N563" s="29"/>
      <c r="P563" s="29"/>
      <c r="Q563" s="29"/>
      <c r="S563" s="29"/>
      <c r="T563" s="29"/>
      <c r="V563" s="29"/>
      <c r="X563" s="29"/>
      <c r="Y563" s="29"/>
      <c r="Z563" s="29"/>
    </row>
    <row r="564" spans="1:26" ht="15" thickBot="1">
      <c r="A564" s="32" t="s">
        <v>413</v>
      </c>
      <c r="B564" s="29" t="s">
        <v>248</v>
      </c>
      <c r="C564" s="29" t="s">
        <v>281</v>
      </c>
      <c r="D564" s="29" t="s">
        <v>252</v>
      </c>
      <c r="E564" s="29" t="s">
        <v>5</v>
      </c>
      <c r="F564" s="29" t="s">
        <v>245</v>
      </c>
      <c r="G564" s="29" t="s">
        <v>246</v>
      </c>
      <c r="H564" s="32">
        <v>19</v>
      </c>
      <c r="I564" s="32">
        <v>2253.92</v>
      </c>
      <c r="J564" s="32">
        <v>42824.480000000003</v>
      </c>
      <c r="K564" s="29"/>
      <c r="M564" s="29"/>
      <c r="N564" s="29"/>
      <c r="P564" s="29"/>
      <c r="Q564" s="29"/>
      <c r="S564" s="29"/>
      <c r="T564" s="29"/>
      <c r="V564" s="29"/>
      <c r="X564" s="29"/>
      <c r="Y564" s="29"/>
      <c r="Z564" s="29"/>
    </row>
    <row r="565" spans="1:26" ht="15" thickBot="1">
      <c r="A565" s="32" t="s">
        <v>458</v>
      </c>
      <c r="B565" s="29" t="s">
        <v>248</v>
      </c>
      <c r="C565" s="29" t="s">
        <v>274</v>
      </c>
      <c r="D565" s="29" t="s">
        <v>232</v>
      </c>
      <c r="E565" s="29" t="s">
        <v>6</v>
      </c>
      <c r="F565" s="29" t="s">
        <v>233</v>
      </c>
      <c r="G565" s="29" t="s">
        <v>234</v>
      </c>
      <c r="H565" s="32">
        <v>13</v>
      </c>
      <c r="I565" s="32">
        <v>3617.07</v>
      </c>
      <c r="J565" s="32">
        <v>47021.91</v>
      </c>
      <c r="K565" s="29"/>
      <c r="M565" s="29"/>
      <c r="N565" s="29"/>
      <c r="P565" s="29"/>
      <c r="Q565" s="29"/>
      <c r="S565" s="29"/>
      <c r="T565" s="29"/>
      <c r="V565" s="29"/>
      <c r="X565" s="29"/>
      <c r="Y565" s="29"/>
      <c r="Z565" s="29"/>
    </row>
    <row r="566" spans="1:26" ht="15" thickBot="1">
      <c r="A566" s="32" t="s">
        <v>459</v>
      </c>
      <c r="B566" s="29" t="s">
        <v>268</v>
      </c>
      <c r="C566" s="29" t="s">
        <v>258</v>
      </c>
      <c r="D566" s="29" t="s">
        <v>242</v>
      </c>
      <c r="E566" s="29" t="s">
        <v>8</v>
      </c>
      <c r="F566" s="29" t="s">
        <v>250</v>
      </c>
      <c r="G566" s="29" t="s">
        <v>293</v>
      </c>
      <c r="H566" s="32">
        <v>5</v>
      </c>
      <c r="I566" s="32">
        <v>417.76</v>
      </c>
      <c r="J566" s="32">
        <v>2088.8000000000002</v>
      </c>
      <c r="K566" s="29"/>
      <c r="M566" s="29"/>
      <c r="N566" s="29"/>
      <c r="P566" s="29"/>
      <c r="Q566" s="29"/>
      <c r="S566" s="29"/>
      <c r="T566" s="29"/>
      <c r="V566" s="29"/>
      <c r="X566" s="29"/>
      <c r="Y566" s="29"/>
      <c r="Z566" s="29"/>
    </row>
    <row r="567" spans="1:26" ht="15" thickBot="1">
      <c r="A567" s="49">
        <v>45144</v>
      </c>
      <c r="B567" s="29" t="s">
        <v>235</v>
      </c>
      <c r="C567" s="29" t="s">
        <v>231</v>
      </c>
      <c r="D567" s="29" t="s">
        <v>232</v>
      </c>
      <c r="E567" s="29" t="s">
        <v>6</v>
      </c>
      <c r="F567" s="29" t="s">
        <v>259</v>
      </c>
      <c r="G567" s="29" t="s">
        <v>179</v>
      </c>
      <c r="H567" s="32">
        <v>11</v>
      </c>
      <c r="I567" s="32">
        <v>864.29</v>
      </c>
      <c r="J567" s="32">
        <v>9507.19</v>
      </c>
      <c r="K567" s="29"/>
      <c r="M567" s="29"/>
      <c r="N567" s="29"/>
      <c r="P567" s="29"/>
      <c r="Q567" s="29"/>
      <c r="S567" s="29"/>
      <c r="T567" s="29"/>
      <c r="V567" s="29"/>
      <c r="X567" s="29"/>
      <c r="Y567" s="29"/>
      <c r="Z567" s="29"/>
    </row>
    <row r="568" spans="1:26" ht="15" thickBot="1">
      <c r="A568" s="32" t="s">
        <v>460</v>
      </c>
      <c r="B568" s="29" t="s">
        <v>254</v>
      </c>
      <c r="C568" s="29" t="s">
        <v>273</v>
      </c>
      <c r="D568" s="29" t="s">
        <v>252</v>
      </c>
      <c r="E568" s="29" t="s">
        <v>5</v>
      </c>
      <c r="F568" s="29" t="s">
        <v>259</v>
      </c>
      <c r="G568" s="29" t="s">
        <v>179</v>
      </c>
      <c r="H568" s="32">
        <v>19</v>
      </c>
      <c r="I568" s="32">
        <v>2006.79</v>
      </c>
      <c r="J568" s="32">
        <v>38129.01</v>
      </c>
      <c r="K568" s="29"/>
      <c r="M568" s="29"/>
      <c r="N568" s="29"/>
      <c r="P568" s="29"/>
      <c r="Q568" s="29"/>
      <c r="S568" s="29"/>
      <c r="T568" s="29"/>
      <c r="V568" s="29"/>
      <c r="X568" s="29"/>
      <c r="Y568" s="29"/>
      <c r="Z568" s="29"/>
    </row>
    <row r="569" spans="1:26" ht="15" thickBot="1">
      <c r="A569" s="32" t="s">
        <v>351</v>
      </c>
      <c r="B569" s="29" t="s">
        <v>235</v>
      </c>
      <c r="C569" s="29" t="s">
        <v>261</v>
      </c>
      <c r="D569" s="29" t="s">
        <v>247</v>
      </c>
      <c r="E569" s="29" t="s">
        <v>6</v>
      </c>
      <c r="F569" s="29" t="s">
        <v>250</v>
      </c>
      <c r="G569" s="29" t="s">
        <v>284</v>
      </c>
      <c r="H569" s="32">
        <v>1</v>
      </c>
      <c r="I569" s="32">
        <v>403.2</v>
      </c>
      <c r="J569" s="32">
        <v>403.2</v>
      </c>
      <c r="K569" s="29"/>
      <c r="M569" s="29"/>
      <c r="N569" s="29"/>
      <c r="P569" s="29"/>
      <c r="Q569" s="29"/>
      <c r="S569" s="29"/>
      <c r="T569" s="29"/>
      <c r="V569" s="29"/>
      <c r="X569" s="29"/>
      <c r="Y569" s="29"/>
      <c r="Z569" s="29"/>
    </row>
    <row r="570" spans="1:26" ht="15" thickBot="1">
      <c r="A570" s="32" t="s">
        <v>263</v>
      </c>
      <c r="B570" s="29" t="s">
        <v>271</v>
      </c>
      <c r="C570" s="29" t="s">
        <v>274</v>
      </c>
      <c r="D570" s="29" t="s">
        <v>232</v>
      </c>
      <c r="E570" s="29" t="s">
        <v>6</v>
      </c>
      <c r="F570" s="29" t="s">
        <v>233</v>
      </c>
      <c r="G570" s="29" t="s">
        <v>304</v>
      </c>
      <c r="H570" s="32">
        <v>7</v>
      </c>
      <c r="I570" s="32">
        <v>2846.83</v>
      </c>
      <c r="J570" s="32">
        <v>19927.810000000001</v>
      </c>
      <c r="K570" s="29"/>
      <c r="M570" s="29"/>
      <c r="N570" s="29"/>
      <c r="P570" s="29"/>
      <c r="Q570" s="29"/>
      <c r="S570" s="29"/>
      <c r="T570" s="29"/>
      <c r="V570" s="29"/>
      <c r="X570" s="29"/>
      <c r="Y570" s="29"/>
      <c r="Z570" s="29"/>
    </row>
    <row r="571" spans="1:26" ht="15" thickBot="1">
      <c r="A571" s="32" t="s">
        <v>359</v>
      </c>
      <c r="B571" s="29" t="s">
        <v>230</v>
      </c>
      <c r="C571" s="29" t="s">
        <v>255</v>
      </c>
      <c r="D571" s="29" t="s">
        <v>237</v>
      </c>
      <c r="E571" s="29" t="s">
        <v>8</v>
      </c>
      <c r="F571" s="29" t="s">
        <v>245</v>
      </c>
      <c r="G571" s="29" t="s">
        <v>246</v>
      </c>
      <c r="H571" s="32">
        <v>5</v>
      </c>
      <c r="I571" s="32">
        <v>850.9</v>
      </c>
      <c r="J571" s="32">
        <v>4254.5</v>
      </c>
      <c r="K571" s="29"/>
      <c r="M571" s="29"/>
      <c r="N571" s="29"/>
      <c r="P571" s="29"/>
      <c r="Q571" s="29"/>
      <c r="S571" s="29"/>
      <c r="T571" s="29"/>
      <c r="V571" s="29"/>
      <c r="X571" s="29"/>
      <c r="Y571" s="29"/>
      <c r="Z571" s="29"/>
    </row>
    <row r="572" spans="1:26" ht="15" thickBot="1">
      <c r="A572" s="32" t="s">
        <v>430</v>
      </c>
      <c r="B572" s="29" t="s">
        <v>257</v>
      </c>
      <c r="C572" s="29" t="s">
        <v>273</v>
      </c>
      <c r="D572" s="29" t="s">
        <v>252</v>
      </c>
      <c r="E572" s="29" t="s">
        <v>5</v>
      </c>
      <c r="F572" s="29" t="s">
        <v>259</v>
      </c>
      <c r="G572" s="29" t="s">
        <v>298</v>
      </c>
      <c r="H572" s="32">
        <v>16</v>
      </c>
      <c r="I572" s="32">
        <v>3337.15</v>
      </c>
      <c r="J572" s="32">
        <v>53394.400000000001</v>
      </c>
      <c r="K572" s="29"/>
      <c r="M572" s="29"/>
      <c r="N572" s="29"/>
      <c r="P572" s="29"/>
      <c r="Q572" s="29"/>
      <c r="S572" s="29"/>
      <c r="T572" s="29"/>
      <c r="V572" s="29"/>
      <c r="X572" s="29"/>
      <c r="Y572" s="29"/>
      <c r="Z572" s="29"/>
    </row>
    <row r="573" spans="1:26" ht="15" thickBot="1">
      <c r="A573" s="32" t="s">
        <v>461</v>
      </c>
      <c r="B573" s="29" t="s">
        <v>257</v>
      </c>
      <c r="C573" s="29" t="s">
        <v>241</v>
      </c>
      <c r="D573" s="29" t="s">
        <v>242</v>
      </c>
      <c r="E573" s="29" t="s">
        <v>8</v>
      </c>
      <c r="F573" s="29" t="s">
        <v>245</v>
      </c>
      <c r="G573" s="29" t="s">
        <v>266</v>
      </c>
      <c r="H573" s="32">
        <v>15</v>
      </c>
      <c r="I573" s="32">
        <v>1299.55</v>
      </c>
      <c r="J573" s="32">
        <v>19493.25</v>
      </c>
      <c r="K573" s="29"/>
      <c r="M573" s="29"/>
      <c r="N573" s="29"/>
      <c r="P573" s="29"/>
      <c r="Q573" s="29"/>
      <c r="S573" s="29"/>
      <c r="T573" s="29"/>
      <c r="V573" s="29"/>
      <c r="X573" s="29"/>
      <c r="Y573" s="29"/>
      <c r="Z573" s="29"/>
    </row>
    <row r="574" spans="1:26" ht="15" thickBot="1">
      <c r="A574" s="32" t="s">
        <v>321</v>
      </c>
      <c r="B574" s="29" t="s">
        <v>257</v>
      </c>
      <c r="C574" s="29" t="s">
        <v>241</v>
      </c>
      <c r="D574" s="29" t="s">
        <v>242</v>
      </c>
      <c r="E574" s="29" t="s">
        <v>8</v>
      </c>
      <c r="F574" s="29" t="s">
        <v>250</v>
      </c>
      <c r="G574" s="29" t="s">
        <v>284</v>
      </c>
      <c r="H574" s="32">
        <v>7</v>
      </c>
      <c r="I574" s="32">
        <v>4898.57</v>
      </c>
      <c r="J574" s="32">
        <v>34289.99</v>
      </c>
      <c r="K574" s="29"/>
      <c r="M574" s="29"/>
      <c r="N574" s="29"/>
      <c r="P574" s="29"/>
      <c r="Q574" s="29"/>
      <c r="S574" s="29"/>
      <c r="T574" s="29"/>
      <c r="V574" s="29"/>
      <c r="X574" s="29"/>
      <c r="Y574" s="29"/>
      <c r="Z574" s="29"/>
    </row>
    <row r="575" spans="1:26" ht="15" thickBot="1">
      <c r="A575" s="49">
        <v>45109</v>
      </c>
      <c r="B575" s="29" t="s">
        <v>230</v>
      </c>
      <c r="C575" s="29" t="s">
        <v>236</v>
      </c>
      <c r="D575" s="29" t="s">
        <v>237</v>
      </c>
      <c r="E575" s="29" t="s">
        <v>8</v>
      </c>
      <c r="F575" s="29" t="s">
        <v>245</v>
      </c>
      <c r="G575" s="29" t="s">
        <v>295</v>
      </c>
      <c r="H575" s="32">
        <v>11</v>
      </c>
      <c r="I575" s="32">
        <v>2471.65</v>
      </c>
      <c r="J575" s="32">
        <v>27188.15</v>
      </c>
      <c r="K575" s="29"/>
      <c r="M575" s="29"/>
      <c r="N575" s="29"/>
      <c r="P575" s="29"/>
      <c r="Q575" s="29"/>
      <c r="S575" s="29"/>
      <c r="T575" s="29"/>
      <c r="V575" s="29"/>
      <c r="X575" s="29"/>
      <c r="Y575" s="29"/>
      <c r="Z575" s="29"/>
    </row>
    <row r="576" spans="1:26" ht="15" thickBot="1">
      <c r="A576" s="32" t="s">
        <v>312</v>
      </c>
      <c r="B576" s="29" t="s">
        <v>257</v>
      </c>
      <c r="C576" s="29" t="s">
        <v>244</v>
      </c>
      <c r="D576" s="29" t="s">
        <v>237</v>
      </c>
      <c r="E576" s="29" t="s">
        <v>8</v>
      </c>
      <c r="F576" s="29" t="s">
        <v>238</v>
      </c>
      <c r="G576" s="29" t="s">
        <v>256</v>
      </c>
      <c r="H576" s="32">
        <v>2</v>
      </c>
      <c r="I576" s="32">
        <v>1125.53</v>
      </c>
      <c r="J576" s="32">
        <v>2251.06</v>
      </c>
      <c r="K576" s="29"/>
      <c r="M576" s="29"/>
      <c r="N576" s="29"/>
      <c r="P576" s="29"/>
      <c r="Q576" s="29"/>
      <c r="S576" s="29"/>
      <c r="T576" s="29"/>
      <c r="V576" s="29"/>
      <c r="X576" s="29"/>
      <c r="Y576" s="29"/>
      <c r="Z576" s="29"/>
    </row>
    <row r="577" spans="1:26" ht="15" thickBot="1">
      <c r="A577" s="49">
        <v>44966</v>
      </c>
      <c r="B577" s="29" t="s">
        <v>240</v>
      </c>
      <c r="C577" s="29" t="s">
        <v>261</v>
      </c>
      <c r="D577" s="29" t="s">
        <v>247</v>
      </c>
      <c r="E577" s="29" t="s">
        <v>6</v>
      </c>
      <c r="F577" s="29" t="s">
        <v>233</v>
      </c>
      <c r="G577" s="29" t="s">
        <v>234</v>
      </c>
      <c r="H577" s="32">
        <v>13</v>
      </c>
      <c r="I577" s="32">
        <v>2835.8</v>
      </c>
      <c r="J577" s="32">
        <v>36865.4</v>
      </c>
      <c r="K577" s="29"/>
      <c r="M577" s="29"/>
      <c r="N577" s="29"/>
      <c r="P577" s="29"/>
      <c r="Q577" s="29"/>
      <c r="S577" s="29"/>
      <c r="T577" s="29"/>
      <c r="V577" s="29"/>
      <c r="X577" s="29"/>
      <c r="Y577" s="29"/>
      <c r="Z577" s="29"/>
    </row>
    <row r="578" spans="1:26" ht="15" thickBot="1">
      <c r="A578" s="49">
        <v>45234</v>
      </c>
      <c r="B578" s="29" t="s">
        <v>260</v>
      </c>
      <c r="C578" s="29" t="s">
        <v>241</v>
      </c>
      <c r="D578" s="29" t="s">
        <v>242</v>
      </c>
      <c r="E578" s="29" t="s">
        <v>8</v>
      </c>
      <c r="F578" s="29" t="s">
        <v>250</v>
      </c>
      <c r="G578" s="29" t="s">
        <v>284</v>
      </c>
      <c r="H578" s="32">
        <v>17</v>
      </c>
      <c r="I578" s="32">
        <v>3973.87</v>
      </c>
      <c r="J578" s="32">
        <v>67555.789999999994</v>
      </c>
      <c r="K578" s="29"/>
      <c r="M578" s="29"/>
      <c r="N578" s="29"/>
      <c r="P578" s="29"/>
      <c r="Q578" s="29"/>
      <c r="S578" s="29"/>
      <c r="T578" s="29"/>
      <c r="V578" s="29"/>
      <c r="X578" s="29"/>
      <c r="Y578" s="29"/>
      <c r="Z578" s="29"/>
    </row>
    <row r="579" spans="1:26" ht="15" thickBot="1">
      <c r="A579" s="49">
        <v>45261</v>
      </c>
      <c r="B579" s="29" t="s">
        <v>240</v>
      </c>
      <c r="C579" s="29" t="s">
        <v>274</v>
      </c>
      <c r="D579" s="29" t="s">
        <v>232</v>
      </c>
      <c r="E579" s="29" t="s">
        <v>6</v>
      </c>
      <c r="F579" s="29" t="s">
        <v>259</v>
      </c>
      <c r="G579" s="29" t="s">
        <v>299</v>
      </c>
      <c r="H579" s="32">
        <v>4</v>
      </c>
      <c r="I579" s="32">
        <v>1998.26</v>
      </c>
      <c r="J579" s="32">
        <v>7993.04</v>
      </c>
      <c r="K579" s="29"/>
      <c r="M579" s="29"/>
      <c r="N579" s="29"/>
      <c r="P579" s="29"/>
      <c r="Q579" s="29"/>
      <c r="S579" s="29"/>
      <c r="T579" s="29"/>
      <c r="V579" s="29"/>
      <c r="X579" s="29"/>
      <c r="Y579" s="29"/>
      <c r="Z579" s="29"/>
    </row>
    <row r="580" spans="1:26" ht="15" thickBot="1">
      <c r="A580" s="49">
        <v>45148</v>
      </c>
      <c r="B580" s="29" t="s">
        <v>254</v>
      </c>
      <c r="C580" s="29" t="s">
        <v>258</v>
      </c>
      <c r="D580" s="29" t="s">
        <v>242</v>
      </c>
      <c r="E580" s="29" t="s">
        <v>8</v>
      </c>
      <c r="F580" s="29" t="s">
        <v>238</v>
      </c>
      <c r="G580" s="29" t="s">
        <v>256</v>
      </c>
      <c r="H580" s="32">
        <v>7</v>
      </c>
      <c r="I580" s="32">
        <v>3820.3</v>
      </c>
      <c r="J580" s="32">
        <v>26742.1</v>
      </c>
      <c r="K580" s="29"/>
      <c r="M580" s="29"/>
      <c r="N580" s="29"/>
      <c r="P580" s="29"/>
      <c r="Q580" s="29"/>
      <c r="S580" s="29"/>
      <c r="T580" s="29"/>
      <c r="V580" s="29"/>
      <c r="X580" s="29"/>
      <c r="Y580" s="29"/>
      <c r="Z580" s="29"/>
    </row>
    <row r="581" spans="1:26" ht="15" thickBot="1">
      <c r="A581" s="32" t="s">
        <v>417</v>
      </c>
      <c r="B581" s="29" t="s">
        <v>230</v>
      </c>
      <c r="C581" s="29" t="s">
        <v>276</v>
      </c>
      <c r="D581" s="29" t="s">
        <v>247</v>
      </c>
      <c r="E581" s="29" t="s">
        <v>6</v>
      </c>
      <c r="F581" s="29" t="s">
        <v>238</v>
      </c>
      <c r="G581" s="29" t="s">
        <v>303</v>
      </c>
      <c r="H581" s="32">
        <v>19</v>
      </c>
      <c r="I581" s="32">
        <v>2199.3200000000002</v>
      </c>
      <c r="J581" s="32">
        <v>41787.08</v>
      </c>
      <c r="K581" s="29"/>
      <c r="M581" s="29"/>
      <c r="N581" s="29"/>
      <c r="P581" s="29"/>
      <c r="Q581" s="29"/>
      <c r="S581" s="29"/>
      <c r="T581" s="29"/>
      <c r="V581" s="29"/>
      <c r="X581" s="29"/>
      <c r="Y581" s="29"/>
      <c r="Z581" s="29"/>
    </row>
    <row r="582" spans="1:26" ht="15" thickBot="1">
      <c r="A582" s="32" t="s">
        <v>437</v>
      </c>
      <c r="B582" s="29" t="s">
        <v>248</v>
      </c>
      <c r="C582" s="29" t="s">
        <v>236</v>
      </c>
      <c r="D582" s="29" t="s">
        <v>237</v>
      </c>
      <c r="E582" s="29" t="s">
        <v>8</v>
      </c>
      <c r="F582" s="29" t="s">
        <v>250</v>
      </c>
      <c r="G582" s="29" t="s">
        <v>251</v>
      </c>
      <c r="H582" s="32">
        <v>6</v>
      </c>
      <c r="I582" s="32">
        <v>578.64</v>
      </c>
      <c r="J582" s="32">
        <v>3471.84</v>
      </c>
      <c r="K582" s="29"/>
      <c r="M582" s="29"/>
      <c r="N582" s="29"/>
      <c r="P582" s="29"/>
      <c r="Q582" s="29"/>
      <c r="S582" s="29"/>
      <c r="T582" s="29"/>
      <c r="V582" s="29"/>
      <c r="X582" s="29"/>
      <c r="Y582" s="29"/>
      <c r="Z582" s="29"/>
    </row>
    <row r="583" spans="1:26" ht="15" thickBot="1">
      <c r="A583" s="49">
        <v>45118</v>
      </c>
      <c r="B583" s="29" t="s">
        <v>254</v>
      </c>
      <c r="C583" s="29" t="s">
        <v>255</v>
      </c>
      <c r="D583" s="29" t="s">
        <v>237</v>
      </c>
      <c r="E583" s="29" t="s">
        <v>8</v>
      </c>
      <c r="F583" s="29" t="s">
        <v>259</v>
      </c>
      <c r="G583" s="29" t="s">
        <v>182</v>
      </c>
      <c r="H583" s="32">
        <v>5</v>
      </c>
      <c r="I583" s="32">
        <v>1488.21</v>
      </c>
      <c r="J583" s="32">
        <v>7441.05</v>
      </c>
      <c r="K583" s="29"/>
      <c r="M583" s="29"/>
      <c r="N583" s="29"/>
      <c r="P583" s="29"/>
      <c r="Q583" s="29"/>
      <c r="S583" s="29"/>
      <c r="T583" s="29"/>
      <c r="V583" s="29"/>
      <c r="X583" s="29"/>
      <c r="Y583" s="29"/>
      <c r="Z583" s="29"/>
    </row>
    <row r="584" spans="1:26" ht="15" thickBot="1">
      <c r="A584" s="32" t="s">
        <v>462</v>
      </c>
      <c r="B584" s="29" t="s">
        <v>268</v>
      </c>
      <c r="C584" s="29" t="s">
        <v>236</v>
      </c>
      <c r="D584" s="29" t="s">
        <v>237</v>
      </c>
      <c r="E584" s="29" t="s">
        <v>8</v>
      </c>
      <c r="F584" s="29" t="s">
        <v>233</v>
      </c>
      <c r="G584" s="29" t="s">
        <v>304</v>
      </c>
      <c r="H584" s="32">
        <v>19</v>
      </c>
      <c r="I584" s="32">
        <v>3196.27</v>
      </c>
      <c r="J584" s="32">
        <v>60729.13</v>
      </c>
      <c r="K584" s="29"/>
      <c r="M584" s="29"/>
      <c r="N584" s="29"/>
      <c r="P584" s="29"/>
      <c r="Q584" s="29"/>
      <c r="S584" s="29"/>
      <c r="T584" s="29"/>
      <c r="V584" s="29"/>
      <c r="X584" s="29"/>
      <c r="Y584" s="29"/>
      <c r="Z584" s="29"/>
    </row>
    <row r="585" spans="1:26" ht="15" thickBot="1">
      <c r="A585" s="49">
        <v>45205</v>
      </c>
      <c r="B585" s="29" t="s">
        <v>240</v>
      </c>
      <c r="C585" s="29" t="s">
        <v>316</v>
      </c>
      <c r="D585" s="29" t="s">
        <v>247</v>
      </c>
      <c r="E585" s="29" t="s">
        <v>6</v>
      </c>
      <c r="F585" s="29" t="s">
        <v>250</v>
      </c>
      <c r="G585" s="29" t="s">
        <v>251</v>
      </c>
      <c r="H585" s="32">
        <v>5</v>
      </c>
      <c r="I585" s="32">
        <v>1018.53</v>
      </c>
      <c r="J585" s="32">
        <v>5092.6499999999996</v>
      </c>
      <c r="K585" s="29"/>
      <c r="M585" s="29"/>
      <c r="N585" s="29"/>
      <c r="P585" s="29"/>
      <c r="Q585" s="29"/>
      <c r="S585" s="29"/>
      <c r="T585" s="29"/>
      <c r="V585" s="29"/>
      <c r="X585" s="29"/>
      <c r="Y585" s="29"/>
      <c r="Z585" s="29"/>
    </row>
    <row r="586" spans="1:26" ht="15" thickBot="1">
      <c r="A586" s="32" t="s">
        <v>428</v>
      </c>
      <c r="B586" s="29" t="s">
        <v>260</v>
      </c>
      <c r="C586" s="29" t="s">
        <v>273</v>
      </c>
      <c r="D586" s="29" t="s">
        <v>252</v>
      </c>
      <c r="E586" s="29" t="s">
        <v>5</v>
      </c>
      <c r="F586" s="29" t="s">
        <v>238</v>
      </c>
      <c r="G586" s="29" t="s">
        <v>296</v>
      </c>
      <c r="H586" s="32">
        <v>13</v>
      </c>
      <c r="I586" s="32">
        <v>1367.15</v>
      </c>
      <c r="J586" s="32">
        <v>17772.95</v>
      </c>
      <c r="K586" s="29"/>
      <c r="M586" s="29"/>
      <c r="N586" s="29"/>
      <c r="P586" s="29"/>
      <c r="Q586" s="29"/>
      <c r="S586" s="29"/>
      <c r="T586" s="29"/>
      <c r="V586" s="29"/>
      <c r="X586" s="29"/>
      <c r="Y586" s="29"/>
      <c r="Z586" s="29"/>
    </row>
    <row r="587" spans="1:26" ht="15" thickBot="1">
      <c r="A587" s="49">
        <v>45117</v>
      </c>
      <c r="B587" s="29" t="s">
        <v>240</v>
      </c>
      <c r="C587" s="29" t="s">
        <v>255</v>
      </c>
      <c r="D587" s="29" t="s">
        <v>237</v>
      </c>
      <c r="E587" s="29" t="s">
        <v>8</v>
      </c>
      <c r="F587" s="29" t="s">
        <v>259</v>
      </c>
      <c r="G587" s="29" t="s">
        <v>299</v>
      </c>
      <c r="H587" s="32">
        <v>19</v>
      </c>
      <c r="I587" s="32">
        <v>4996.28</v>
      </c>
      <c r="J587" s="32">
        <v>94929.32</v>
      </c>
      <c r="K587" s="29"/>
      <c r="M587" s="29"/>
      <c r="N587" s="29"/>
      <c r="P587" s="29"/>
      <c r="Q587" s="29"/>
      <c r="S587" s="29"/>
      <c r="T587" s="29"/>
      <c r="V587" s="29"/>
      <c r="X587" s="29"/>
      <c r="Y587" s="29"/>
      <c r="Z587" s="29"/>
    </row>
    <row r="588" spans="1:26" ht="15" thickBot="1">
      <c r="A588" s="32" t="s">
        <v>355</v>
      </c>
      <c r="B588" s="29" t="s">
        <v>280</v>
      </c>
      <c r="C588" s="29" t="s">
        <v>249</v>
      </c>
      <c r="D588" s="29" t="s">
        <v>232</v>
      </c>
      <c r="E588" s="29" t="s">
        <v>6</v>
      </c>
      <c r="F588" s="29" t="s">
        <v>245</v>
      </c>
      <c r="G588" s="29" t="s">
        <v>269</v>
      </c>
      <c r="H588" s="32">
        <v>3</v>
      </c>
      <c r="I588" s="32">
        <v>4447.8999999999996</v>
      </c>
      <c r="J588" s="32">
        <v>13343.7</v>
      </c>
      <c r="K588" s="29"/>
      <c r="M588" s="29"/>
      <c r="N588" s="29"/>
      <c r="P588" s="29"/>
      <c r="Q588" s="29"/>
      <c r="S588" s="29"/>
      <c r="T588" s="29"/>
      <c r="V588" s="29"/>
      <c r="X588" s="29"/>
      <c r="Y588" s="29"/>
      <c r="Z588" s="29"/>
    </row>
    <row r="589" spans="1:26" ht="15" thickBot="1">
      <c r="A589" s="32" t="s">
        <v>399</v>
      </c>
      <c r="B589" s="29" t="s">
        <v>260</v>
      </c>
      <c r="C589" s="29" t="s">
        <v>274</v>
      </c>
      <c r="D589" s="29" t="s">
        <v>232</v>
      </c>
      <c r="E589" s="29" t="s">
        <v>6</v>
      </c>
      <c r="F589" s="29" t="s">
        <v>238</v>
      </c>
      <c r="G589" s="29" t="s">
        <v>239</v>
      </c>
      <c r="H589" s="32">
        <v>10</v>
      </c>
      <c r="I589" s="32">
        <v>1318.51</v>
      </c>
      <c r="J589" s="32">
        <v>13185.1</v>
      </c>
      <c r="K589" s="29"/>
      <c r="M589" s="29"/>
      <c r="N589" s="29"/>
      <c r="P589" s="29"/>
      <c r="Q589" s="29"/>
      <c r="S589" s="29"/>
      <c r="T589" s="29"/>
      <c r="V589" s="29"/>
      <c r="X589" s="29"/>
      <c r="Y589" s="29"/>
      <c r="Z589" s="29"/>
    </row>
    <row r="590" spans="1:26" ht="15" thickBot="1">
      <c r="A590" s="32" t="s">
        <v>279</v>
      </c>
      <c r="B590" s="29" t="s">
        <v>230</v>
      </c>
      <c r="C590" s="29" t="s">
        <v>236</v>
      </c>
      <c r="D590" s="29" t="s">
        <v>237</v>
      </c>
      <c r="E590" s="29" t="s">
        <v>8</v>
      </c>
      <c r="F590" s="29" t="s">
        <v>250</v>
      </c>
      <c r="G590" s="29" t="s">
        <v>293</v>
      </c>
      <c r="H590" s="32">
        <v>20</v>
      </c>
      <c r="I590" s="32">
        <v>1731.99</v>
      </c>
      <c r="J590" s="32">
        <v>34639.800000000003</v>
      </c>
      <c r="K590" s="29"/>
      <c r="M590" s="29"/>
      <c r="N590" s="29"/>
      <c r="P590" s="29"/>
      <c r="Q590" s="29"/>
      <c r="S590" s="29"/>
      <c r="T590" s="29"/>
      <c r="V590" s="29"/>
      <c r="X590" s="29"/>
      <c r="Y590" s="29"/>
      <c r="Z590" s="29"/>
    </row>
    <row r="591" spans="1:26" ht="15" thickBot="1">
      <c r="A591" s="49">
        <v>44938</v>
      </c>
      <c r="B591" s="29" t="s">
        <v>260</v>
      </c>
      <c r="C591" s="29" t="s">
        <v>231</v>
      </c>
      <c r="D591" s="29" t="s">
        <v>232</v>
      </c>
      <c r="E591" s="29" t="s">
        <v>6</v>
      </c>
      <c r="F591" s="29" t="s">
        <v>245</v>
      </c>
      <c r="G591" s="29" t="s">
        <v>246</v>
      </c>
      <c r="H591" s="32">
        <v>12</v>
      </c>
      <c r="I591" s="32">
        <v>4514.3900000000003</v>
      </c>
      <c r="J591" s="32">
        <v>54172.68</v>
      </c>
      <c r="K591" s="29"/>
      <c r="M591" s="29"/>
      <c r="N591" s="29"/>
      <c r="P591" s="29"/>
      <c r="Q591" s="29"/>
      <c r="S591" s="29"/>
      <c r="T591" s="29"/>
      <c r="V591" s="29"/>
      <c r="X591" s="29"/>
      <c r="Y591" s="29"/>
      <c r="Z591" s="29"/>
    </row>
    <row r="592" spans="1:26" ht="15" thickBot="1">
      <c r="A592" s="49">
        <v>45087</v>
      </c>
      <c r="B592" s="29" t="s">
        <v>280</v>
      </c>
      <c r="C592" s="29" t="s">
        <v>241</v>
      </c>
      <c r="D592" s="29" t="s">
        <v>242</v>
      </c>
      <c r="E592" s="29" t="s">
        <v>8</v>
      </c>
      <c r="F592" s="29" t="s">
        <v>233</v>
      </c>
      <c r="G592" s="29" t="s">
        <v>301</v>
      </c>
      <c r="H592" s="32">
        <v>20</v>
      </c>
      <c r="I592" s="32">
        <v>1710.93</v>
      </c>
      <c r="J592" s="32">
        <v>34218.6</v>
      </c>
      <c r="K592" s="29"/>
      <c r="M592" s="29"/>
      <c r="N592" s="29"/>
      <c r="P592" s="29"/>
      <c r="Q592" s="29"/>
      <c r="S592" s="29"/>
      <c r="T592" s="29"/>
      <c r="V592" s="29"/>
      <c r="X592" s="29"/>
      <c r="Y592" s="29"/>
      <c r="Z592" s="29"/>
    </row>
    <row r="593" spans="1:26" ht="15" thickBot="1">
      <c r="A593" s="49">
        <v>45204</v>
      </c>
      <c r="B593" s="29" t="s">
        <v>235</v>
      </c>
      <c r="C593" s="29" t="s">
        <v>283</v>
      </c>
      <c r="D593" s="29" t="s">
        <v>242</v>
      </c>
      <c r="E593" s="29" t="s">
        <v>8</v>
      </c>
      <c r="F593" s="29" t="s">
        <v>238</v>
      </c>
      <c r="G593" s="29" t="s">
        <v>256</v>
      </c>
      <c r="H593" s="32">
        <v>19</v>
      </c>
      <c r="I593" s="32">
        <v>491.53</v>
      </c>
      <c r="J593" s="32">
        <v>9339.07</v>
      </c>
      <c r="K593" s="29"/>
      <c r="M593" s="29"/>
      <c r="N593" s="29"/>
      <c r="P593" s="29"/>
      <c r="Q593" s="29"/>
      <c r="S593" s="29"/>
      <c r="T593" s="29"/>
      <c r="V593" s="29"/>
      <c r="X593" s="29"/>
      <c r="Y593" s="29"/>
      <c r="Z593" s="29"/>
    </row>
    <row r="594" spans="1:26" ht="15" thickBot="1">
      <c r="A594" s="49">
        <v>45268</v>
      </c>
      <c r="B594" s="29" t="s">
        <v>280</v>
      </c>
      <c r="C594" s="29" t="s">
        <v>241</v>
      </c>
      <c r="D594" s="29" t="s">
        <v>242</v>
      </c>
      <c r="E594" s="29" t="s">
        <v>8</v>
      </c>
      <c r="F594" s="29" t="s">
        <v>250</v>
      </c>
      <c r="G594" s="29" t="s">
        <v>251</v>
      </c>
      <c r="H594" s="32">
        <v>6</v>
      </c>
      <c r="I594" s="32">
        <v>203.88</v>
      </c>
      <c r="J594" s="32">
        <v>1223.28</v>
      </c>
      <c r="K594" s="29"/>
      <c r="M594" s="29"/>
      <c r="N594" s="29"/>
      <c r="P594" s="29"/>
      <c r="Q594" s="29"/>
      <c r="S594" s="29"/>
      <c r="T594" s="29"/>
      <c r="V594" s="29"/>
      <c r="X594" s="29"/>
      <c r="Y594" s="29"/>
      <c r="Z594" s="29"/>
    </row>
    <row r="595" spans="1:26" ht="15" thickBot="1">
      <c r="A595" s="32" t="s">
        <v>356</v>
      </c>
      <c r="B595" s="29" t="s">
        <v>235</v>
      </c>
      <c r="C595" s="29" t="s">
        <v>249</v>
      </c>
      <c r="D595" s="29" t="s">
        <v>232</v>
      </c>
      <c r="E595" s="29" t="s">
        <v>6</v>
      </c>
      <c r="F595" s="29" t="s">
        <v>238</v>
      </c>
      <c r="G595" s="29" t="s">
        <v>239</v>
      </c>
      <c r="H595" s="32">
        <v>19</v>
      </c>
      <c r="I595" s="32">
        <v>4786.8900000000003</v>
      </c>
      <c r="J595" s="32">
        <v>90950.91</v>
      </c>
      <c r="K595" s="29"/>
      <c r="M595" s="29"/>
      <c r="N595" s="29"/>
      <c r="P595" s="29"/>
      <c r="Q595" s="29"/>
      <c r="S595" s="29"/>
      <c r="T595" s="29"/>
      <c r="V595" s="29"/>
      <c r="X595" s="29"/>
      <c r="Y595" s="29"/>
      <c r="Z595" s="29"/>
    </row>
    <row r="596" spans="1:26" ht="15" thickBot="1">
      <c r="A596" s="49">
        <v>45210</v>
      </c>
      <c r="B596" s="29" t="s">
        <v>280</v>
      </c>
      <c r="C596" s="29" t="s">
        <v>258</v>
      </c>
      <c r="D596" s="29" t="s">
        <v>242</v>
      </c>
      <c r="E596" s="29" t="s">
        <v>8</v>
      </c>
      <c r="F596" s="29" t="s">
        <v>245</v>
      </c>
      <c r="G596" s="29" t="s">
        <v>269</v>
      </c>
      <c r="H596" s="32">
        <v>11</v>
      </c>
      <c r="I596" s="32">
        <v>2666.77</v>
      </c>
      <c r="J596" s="32">
        <v>29334.47</v>
      </c>
      <c r="K596" s="29"/>
      <c r="M596" s="29"/>
      <c r="N596" s="29"/>
      <c r="P596" s="29"/>
      <c r="Q596" s="29"/>
      <c r="S596" s="29"/>
      <c r="T596" s="29"/>
      <c r="V596" s="29"/>
      <c r="X596" s="29"/>
      <c r="Y596" s="29"/>
      <c r="Z596" s="29"/>
    </row>
    <row r="597" spans="1:26" ht="15" thickBot="1">
      <c r="A597" s="49">
        <v>45201</v>
      </c>
      <c r="B597" s="29" t="s">
        <v>248</v>
      </c>
      <c r="C597" s="29" t="s">
        <v>231</v>
      </c>
      <c r="D597" s="29" t="s">
        <v>232</v>
      </c>
      <c r="E597" s="29" t="s">
        <v>6</v>
      </c>
      <c r="F597" s="29" t="s">
        <v>259</v>
      </c>
      <c r="G597" s="29" t="s">
        <v>179</v>
      </c>
      <c r="H597" s="32">
        <v>19</v>
      </c>
      <c r="I597" s="32">
        <v>2174.7600000000002</v>
      </c>
      <c r="J597" s="32">
        <v>41320.44</v>
      </c>
      <c r="K597" s="29"/>
      <c r="M597" s="29"/>
      <c r="N597" s="29"/>
      <c r="P597" s="29"/>
      <c r="Q597" s="29"/>
      <c r="S597" s="29"/>
      <c r="T597" s="29"/>
      <c r="V597" s="29"/>
      <c r="X597" s="29"/>
      <c r="Y597" s="29"/>
      <c r="Z597" s="29"/>
    </row>
    <row r="598" spans="1:26" ht="15" thickBot="1">
      <c r="A598" s="32" t="s">
        <v>326</v>
      </c>
      <c r="B598" s="29" t="s">
        <v>248</v>
      </c>
      <c r="C598" s="29" t="s">
        <v>316</v>
      </c>
      <c r="D598" s="29" t="s">
        <v>247</v>
      </c>
      <c r="E598" s="29" t="s">
        <v>6</v>
      </c>
      <c r="F598" s="29" t="s">
        <v>238</v>
      </c>
      <c r="G598" s="29" t="s">
        <v>303</v>
      </c>
      <c r="H598" s="32">
        <v>1</v>
      </c>
      <c r="I598" s="32">
        <v>1678.18</v>
      </c>
      <c r="J598" s="32">
        <v>1678.18</v>
      </c>
      <c r="K598" s="29"/>
      <c r="M598" s="29"/>
      <c r="N598" s="29"/>
      <c r="P598" s="29"/>
      <c r="Q598" s="29"/>
      <c r="S598" s="29"/>
      <c r="T598" s="29"/>
      <c r="V598" s="29"/>
      <c r="X598" s="29"/>
      <c r="Y598" s="29"/>
      <c r="Z598" s="29"/>
    </row>
    <row r="599" spans="1:26" ht="15" thickBot="1">
      <c r="A599" s="32" t="s">
        <v>311</v>
      </c>
      <c r="B599" s="29" t="s">
        <v>257</v>
      </c>
      <c r="C599" s="29" t="s">
        <v>231</v>
      </c>
      <c r="D599" s="29" t="s">
        <v>232</v>
      </c>
      <c r="E599" s="29" t="s">
        <v>6</v>
      </c>
      <c r="F599" s="29" t="s">
        <v>259</v>
      </c>
      <c r="G599" s="29" t="s">
        <v>298</v>
      </c>
      <c r="H599" s="32">
        <v>20</v>
      </c>
      <c r="I599" s="32">
        <v>2163.9499999999998</v>
      </c>
      <c r="J599" s="32">
        <v>43279</v>
      </c>
      <c r="K599" s="29"/>
      <c r="M599" s="29"/>
      <c r="N599" s="29"/>
      <c r="P599" s="29"/>
      <c r="Q599" s="29"/>
      <c r="S599" s="29"/>
      <c r="T599" s="29"/>
      <c r="V599" s="29"/>
      <c r="X599" s="29"/>
      <c r="Y599" s="29"/>
      <c r="Z599" s="29"/>
    </row>
    <row r="600" spans="1:26" ht="15" thickBot="1">
      <c r="A600" s="49">
        <v>45058</v>
      </c>
      <c r="B600" s="29" t="s">
        <v>248</v>
      </c>
      <c r="C600" s="29" t="s">
        <v>231</v>
      </c>
      <c r="D600" s="29" t="s">
        <v>232</v>
      </c>
      <c r="E600" s="29" t="s">
        <v>6</v>
      </c>
      <c r="F600" s="29" t="s">
        <v>233</v>
      </c>
      <c r="G600" s="29" t="s">
        <v>234</v>
      </c>
      <c r="H600" s="32">
        <v>18</v>
      </c>
      <c r="I600" s="32">
        <v>3511.28</v>
      </c>
      <c r="J600" s="32">
        <v>63203.040000000001</v>
      </c>
      <c r="K600" s="29"/>
      <c r="M600" s="29"/>
      <c r="N600" s="29"/>
      <c r="P600" s="29"/>
      <c r="Q600" s="29"/>
      <c r="S600" s="29"/>
      <c r="T600" s="29"/>
      <c r="V600" s="29"/>
      <c r="X600" s="29"/>
      <c r="Y600" s="29"/>
      <c r="Z600" s="29"/>
    </row>
    <row r="601" spans="1:26" ht="15" thickBot="1">
      <c r="A601" s="49">
        <v>45047</v>
      </c>
      <c r="B601" s="29" t="s">
        <v>235</v>
      </c>
      <c r="C601" s="29" t="s">
        <v>258</v>
      </c>
      <c r="D601" s="29" t="s">
        <v>242</v>
      </c>
      <c r="E601" s="29" t="s">
        <v>8</v>
      </c>
      <c r="F601" s="29" t="s">
        <v>238</v>
      </c>
      <c r="G601" s="29" t="s">
        <v>296</v>
      </c>
      <c r="H601" s="32">
        <v>13</v>
      </c>
      <c r="I601" s="32">
        <v>2979.65</v>
      </c>
      <c r="J601" s="32">
        <v>38735.449999999997</v>
      </c>
      <c r="K601" s="29"/>
      <c r="M601" s="29"/>
      <c r="N601" s="29"/>
      <c r="P601" s="29"/>
      <c r="Q601" s="29"/>
      <c r="S601" s="29"/>
      <c r="T601" s="29"/>
      <c r="V601" s="29"/>
      <c r="X601" s="29"/>
      <c r="Y601" s="29"/>
      <c r="Z601" s="29"/>
    </row>
    <row r="602" spans="1:26" ht="15" thickBot="1">
      <c r="A602" s="32" t="s">
        <v>324</v>
      </c>
      <c r="B602" s="29" t="s">
        <v>271</v>
      </c>
      <c r="C602" s="29" t="s">
        <v>231</v>
      </c>
      <c r="D602" s="29" t="s">
        <v>232</v>
      </c>
      <c r="E602" s="29" t="s">
        <v>6</v>
      </c>
      <c r="F602" s="29" t="s">
        <v>245</v>
      </c>
      <c r="G602" s="29" t="s">
        <v>266</v>
      </c>
      <c r="H602" s="32">
        <v>4</v>
      </c>
      <c r="I602" s="32">
        <v>2985.48</v>
      </c>
      <c r="J602" s="32">
        <v>11941.92</v>
      </c>
      <c r="K602" s="29"/>
      <c r="M602" s="29"/>
      <c r="N602" s="29"/>
      <c r="P602" s="29"/>
      <c r="Q602" s="29"/>
      <c r="S602" s="29"/>
      <c r="T602" s="29"/>
      <c r="V602" s="29"/>
      <c r="X602" s="29"/>
      <c r="Y602" s="29"/>
      <c r="Z602" s="29"/>
    </row>
    <row r="603" spans="1:26" ht="15" thickBot="1">
      <c r="A603" s="32" t="s">
        <v>315</v>
      </c>
      <c r="B603" s="29" t="s">
        <v>254</v>
      </c>
      <c r="C603" s="29" t="s">
        <v>258</v>
      </c>
      <c r="D603" s="29" t="s">
        <v>242</v>
      </c>
      <c r="E603" s="29" t="s">
        <v>8</v>
      </c>
      <c r="F603" s="29" t="s">
        <v>238</v>
      </c>
      <c r="G603" s="29" t="s">
        <v>256</v>
      </c>
      <c r="H603" s="32">
        <v>18</v>
      </c>
      <c r="I603" s="32">
        <v>3989.44</v>
      </c>
      <c r="J603" s="32">
        <v>71809.919999999998</v>
      </c>
      <c r="K603" s="29"/>
      <c r="M603" s="29"/>
      <c r="N603" s="29"/>
      <c r="P603" s="29"/>
      <c r="Q603" s="29"/>
      <c r="S603" s="29"/>
      <c r="T603" s="29"/>
      <c r="V603" s="29"/>
      <c r="X603" s="29"/>
      <c r="Y603" s="29"/>
      <c r="Z603" s="29"/>
    </row>
    <row r="604" spans="1:26" ht="15" thickBot="1">
      <c r="A604" s="32" t="s">
        <v>439</v>
      </c>
      <c r="B604" s="29" t="s">
        <v>254</v>
      </c>
      <c r="C604" s="29" t="s">
        <v>261</v>
      </c>
      <c r="D604" s="29" t="s">
        <v>247</v>
      </c>
      <c r="E604" s="29" t="s">
        <v>6</v>
      </c>
      <c r="F604" s="29" t="s">
        <v>259</v>
      </c>
      <c r="G604" s="29" t="s">
        <v>299</v>
      </c>
      <c r="H604" s="32">
        <v>14</v>
      </c>
      <c r="I604" s="32">
        <v>2251.87</v>
      </c>
      <c r="J604" s="32">
        <v>31526.18</v>
      </c>
      <c r="K604" s="29"/>
      <c r="M604" s="29"/>
      <c r="N604" s="29"/>
      <c r="P604" s="29"/>
      <c r="Q604" s="29"/>
      <c r="S604" s="29"/>
      <c r="T604" s="29"/>
      <c r="V604" s="29"/>
      <c r="X604" s="29"/>
      <c r="Y604" s="29"/>
      <c r="Z604" s="29"/>
    </row>
    <row r="605" spans="1:26" ht="15" thickBot="1">
      <c r="A605" s="49">
        <v>45173</v>
      </c>
      <c r="B605" s="29" t="s">
        <v>280</v>
      </c>
      <c r="C605" s="29" t="s">
        <v>276</v>
      </c>
      <c r="D605" s="29" t="s">
        <v>247</v>
      </c>
      <c r="E605" s="29" t="s">
        <v>6</v>
      </c>
      <c r="F605" s="29" t="s">
        <v>250</v>
      </c>
      <c r="G605" s="29" t="s">
        <v>293</v>
      </c>
      <c r="H605" s="32">
        <v>8</v>
      </c>
      <c r="I605" s="32">
        <v>2519.3000000000002</v>
      </c>
      <c r="J605" s="32">
        <v>20154.400000000001</v>
      </c>
      <c r="K605" s="29"/>
      <c r="M605" s="29"/>
      <c r="N605" s="29"/>
      <c r="P605" s="29"/>
      <c r="Q605" s="29"/>
      <c r="S605" s="29"/>
      <c r="T605" s="29"/>
      <c r="V605" s="29"/>
      <c r="X605" s="29"/>
      <c r="Y605" s="29"/>
      <c r="Z605" s="29"/>
    </row>
    <row r="606" spans="1:26" ht="15" thickBot="1">
      <c r="A606" s="32" t="s">
        <v>438</v>
      </c>
      <c r="B606" s="29" t="s">
        <v>240</v>
      </c>
      <c r="C606" s="29" t="s">
        <v>258</v>
      </c>
      <c r="D606" s="29" t="s">
        <v>242</v>
      </c>
      <c r="E606" s="29" t="s">
        <v>8</v>
      </c>
      <c r="F606" s="29" t="s">
        <v>245</v>
      </c>
      <c r="G606" s="29" t="s">
        <v>246</v>
      </c>
      <c r="H606" s="32">
        <v>3</v>
      </c>
      <c r="I606" s="32">
        <v>1129.8800000000001</v>
      </c>
      <c r="J606" s="32">
        <v>3389.64</v>
      </c>
      <c r="K606" s="29"/>
      <c r="M606" s="29"/>
      <c r="N606" s="29"/>
      <c r="P606" s="29"/>
      <c r="Q606" s="29"/>
      <c r="S606" s="29"/>
      <c r="T606" s="29"/>
      <c r="V606" s="29"/>
      <c r="X606" s="29"/>
      <c r="Y606" s="29"/>
      <c r="Z606" s="29"/>
    </row>
    <row r="607" spans="1:26" ht="15" thickBot="1">
      <c r="A607" s="49">
        <v>45087</v>
      </c>
      <c r="B607" s="29" t="s">
        <v>230</v>
      </c>
      <c r="C607" s="29" t="s">
        <v>261</v>
      </c>
      <c r="D607" s="29" t="s">
        <v>247</v>
      </c>
      <c r="E607" s="29" t="s">
        <v>6</v>
      </c>
      <c r="F607" s="29" t="s">
        <v>233</v>
      </c>
      <c r="G607" s="29" t="s">
        <v>301</v>
      </c>
      <c r="H607" s="32">
        <v>15</v>
      </c>
      <c r="I607" s="32">
        <v>4146.03</v>
      </c>
      <c r="J607" s="32">
        <v>62190.45</v>
      </c>
      <c r="K607" s="29"/>
      <c r="M607" s="29"/>
      <c r="N607" s="29"/>
      <c r="P607" s="29"/>
      <c r="Q607" s="29"/>
      <c r="S607" s="29"/>
      <c r="T607" s="29"/>
      <c r="V607" s="29"/>
      <c r="X607" s="29"/>
      <c r="Y607" s="29"/>
      <c r="Z607" s="29"/>
    </row>
    <row r="608" spans="1:26" ht="15" thickBot="1">
      <c r="A608" s="49">
        <v>45113</v>
      </c>
      <c r="B608" s="29" t="s">
        <v>271</v>
      </c>
      <c r="C608" s="29" t="s">
        <v>231</v>
      </c>
      <c r="D608" s="29" t="s">
        <v>232</v>
      </c>
      <c r="E608" s="29" t="s">
        <v>6</v>
      </c>
      <c r="F608" s="29" t="s">
        <v>233</v>
      </c>
      <c r="G608" s="29" t="s">
        <v>287</v>
      </c>
      <c r="H608" s="32">
        <v>4</v>
      </c>
      <c r="I608" s="32">
        <v>3564.22</v>
      </c>
      <c r="J608" s="32">
        <v>14256.88</v>
      </c>
      <c r="K608" s="29"/>
      <c r="M608" s="29"/>
      <c r="N608" s="29"/>
      <c r="P608" s="29"/>
      <c r="Q608" s="29"/>
      <c r="S608" s="29"/>
      <c r="T608" s="29"/>
      <c r="V608" s="29"/>
      <c r="X608" s="29"/>
      <c r="Y608" s="29"/>
      <c r="Z608" s="29"/>
    </row>
    <row r="609" spans="1:26" ht="15" thickBot="1">
      <c r="A609" s="32" t="s">
        <v>443</v>
      </c>
      <c r="B609" s="29" t="s">
        <v>271</v>
      </c>
      <c r="C609" s="29" t="s">
        <v>236</v>
      </c>
      <c r="D609" s="29" t="s">
        <v>237</v>
      </c>
      <c r="E609" s="29" t="s">
        <v>8</v>
      </c>
      <c r="F609" s="29" t="s">
        <v>233</v>
      </c>
      <c r="G609" s="29" t="s">
        <v>301</v>
      </c>
      <c r="H609" s="32">
        <v>14</v>
      </c>
      <c r="I609" s="32">
        <v>414.51</v>
      </c>
      <c r="J609" s="32">
        <v>5803.14</v>
      </c>
      <c r="K609" s="29"/>
      <c r="M609" s="29"/>
      <c r="N609" s="29"/>
      <c r="P609" s="29"/>
      <c r="Q609" s="29"/>
      <c r="S609" s="29"/>
      <c r="T609" s="29"/>
      <c r="V609" s="29"/>
      <c r="X609" s="29"/>
      <c r="Y609" s="29"/>
      <c r="Z609" s="29"/>
    </row>
    <row r="610" spans="1:26" ht="15" thickBot="1">
      <c r="A610" s="32" t="s">
        <v>374</v>
      </c>
      <c r="B610" s="29" t="s">
        <v>280</v>
      </c>
      <c r="C610" s="29" t="s">
        <v>261</v>
      </c>
      <c r="D610" s="29" t="s">
        <v>247</v>
      </c>
      <c r="E610" s="29" t="s">
        <v>6</v>
      </c>
      <c r="F610" s="29" t="s">
        <v>233</v>
      </c>
      <c r="G610" s="29" t="s">
        <v>287</v>
      </c>
      <c r="H610" s="32">
        <v>11</v>
      </c>
      <c r="I610" s="32">
        <v>1788.39</v>
      </c>
      <c r="J610" s="32">
        <v>19672.29</v>
      </c>
      <c r="K610" s="29"/>
      <c r="M610" s="29"/>
      <c r="N610" s="29"/>
      <c r="P610" s="29"/>
      <c r="Q610" s="29"/>
      <c r="S610" s="29"/>
      <c r="T610" s="29"/>
      <c r="V610" s="29"/>
      <c r="X610" s="29"/>
      <c r="Y610" s="29"/>
      <c r="Z610" s="29"/>
    </row>
    <row r="611" spans="1:26" ht="15" thickBot="1">
      <c r="A611" s="32" t="s">
        <v>272</v>
      </c>
      <c r="B611" s="29" t="s">
        <v>257</v>
      </c>
      <c r="C611" s="29" t="s">
        <v>283</v>
      </c>
      <c r="D611" s="29" t="s">
        <v>242</v>
      </c>
      <c r="E611" s="29" t="s">
        <v>8</v>
      </c>
      <c r="F611" s="29" t="s">
        <v>245</v>
      </c>
      <c r="G611" s="29" t="s">
        <v>295</v>
      </c>
      <c r="H611" s="32">
        <v>6</v>
      </c>
      <c r="I611" s="32">
        <v>2867.98</v>
      </c>
      <c r="J611" s="32">
        <v>17207.88</v>
      </c>
      <c r="K611" s="29"/>
      <c r="M611" s="29"/>
      <c r="N611" s="29"/>
      <c r="P611" s="29"/>
      <c r="Q611" s="29"/>
      <c r="S611" s="29"/>
      <c r="T611" s="29"/>
      <c r="V611" s="29"/>
      <c r="X611" s="29"/>
      <c r="Y611" s="29"/>
      <c r="Z611" s="29"/>
    </row>
    <row r="612" spans="1:26" ht="15" thickBot="1">
      <c r="A612" s="32" t="s">
        <v>438</v>
      </c>
      <c r="B612" s="29" t="s">
        <v>248</v>
      </c>
      <c r="C612" s="29" t="s">
        <v>231</v>
      </c>
      <c r="D612" s="29" t="s">
        <v>232</v>
      </c>
      <c r="E612" s="29" t="s">
        <v>6</v>
      </c>
      <c r="F612" s="29" t="s">
        <v>245</v>
      </c>
      <c r="G612" s="29" t="s">
        <v>246</v>
      </c>
      <c r="H612" s="32">
        <v>6</v>
      </c>
      <c r="I612" s="32">
        <v>3566.53</v>
      </c>
      <c r="J612" s="32">
        <v>21399.18</v>
      </c>
      <c r="K612" s="29"/>
      <c r="M612" s="29"/>
      <c r="N612" s="29"/>
      <c r="P612" s="29"/>
      <c r="Q612" s="29"/>
      <c r="S612" s="29"/>
      <c r="T612" s="29"/>
      <c r="V612" s="29"/>
      <c r="X612" s="29"/>
      <c r="Y612" s="29"/>
      <c r="Z612" s="29"/>
    </row>
    <row r="613" spans="1:26" ht="15" thickBot="1">
      <c r="A613" s="49">
        <v>45025</v>
      </c>
      <c r="B613" s="29" t="s">
        <v>268</v>
      </c>
      <c r="C613" s="29" t="s">
        <v>276</v>
      </c>
      <c r="D613" s="29" t="s">
        <v>247</v>
      </c>
      <c r="E613" s="29" t="s">
        <v>6</v>
      </c>
      <c r="F613" s="29" t="s">
        <v>238</v>
      </c>
      <c r="G613" s="29" t="s">
        <v>256</v>
      </c>
      <c r="H613" s="32">
        <v>13</v>
      </c>
      <c r="I613" s="32">
        <v>2669.5</v>
      </c>
      <c r="J613" s="32">
        <v>34703.5</v>
      </c>
      <c r="K613" s="29"/>
      <c r="M613" s="29"/>
      <c r="N613" s="29"/>
      <c r="P613" s="29"/>
      <c r="Q613" s="29"/>
      <c r="S613" s="29"/>
      <c r="T613" s="29"/>
      <c r="V613" s="29"/>
      <c r="X613" s="29"/>
      <c r="Y613" s="29"/>
      <c r="Z613" s="29"/>
    </row>
    <row r="614" spans="1:26" ht="15" thickBot="1">
      <c r="A614" s="49">
        <v>45085</v>
      </c>
      <c r="B614" s="29" t="s">
        <v>260</v>
      </c>
      <c r="C614" s="29" t="s">
        <v>255</v>
      </c>
      <c r="D614" s="29" t="s">
        <v>237</v>
      </c>
      <c r="E614" s="29" t="s">
        <v>8</v>
      </c>
      <c r="F614" s="29" t="s">
        <v>250</v>
      </c>
      <c r="G614" s="29" t="s">
        <v>293</v>
      </c>
      <c r="H614" s="32">
        <v>6</v>
      </c>
      <c r="I614" s="32">
        <v>3842.46</v>
      </c>
      <c r="J614" s="32">
        <v>23054.76</v>
      </c>
      <c r="K614" s="29"/>
      <c r="M614" s="29"/>
      <c r="N614" s="29"/>
      <c r="P614" s="29"/>
      <c r="Q614" s="29"/>
      <c r="S614" s="29"/>
      <c r="T614" s="29"/>
      <c r="V614" s="29"/>
      <c r="X614" s="29"/>
      <c r="Y614" s="29"/>
      <c r="Z614" s="29"/>
    </row>
    <row r="615" spans="1:26" ht="15" thickBot="1">
      <c r="A615" s="32" t="s">
        <v>340</v>
      </c>
      <c r="B615" s="29" t="s">
        <v>254</v>
      </c>
      <c r="C615" s="29" t="s">
        <v>274</v>
      </c>
      <c r="D615" s="29" t="s">
        <v>232</v>
      </c>
      <c r="E615" s="29" t="s">
        <v>6</v>
      </c>
      <c r="F615" s="29" t="s">
        <v>233</v>
      </c>
      <c r="G615" s="29" t="s">
        <v>234</v>
      </c>
      <c r="H615" s="32">
        <v>13</v>
      </c>
      <c r="I615" s="32">
        <v>1419.3</v>
      </c>
      <c r="J615" s="32">
        <v>18450.900000000001</v>
      </c>
      <c r="K615" s="29"/>
      <c r="M615" s="29"/>
      <c r="N615" s="29"/>
      <c r="P615" s="29"/>
      <c r="Q615" s="29"/>
      <c r="S615" s="29"/>
      <c r="T615" s="29"/>
      <c r="V615" s="29"/>
      <c r="X615" s="29"/>
      <c r="Y615" s="29"/>
      <c r="Z615" s="29"/>
    </row>
    <row r="616" spans="1:26" ht="15" thickBot="1">
      <c r="A616" s="49">
        <v>44961</v>
      </c>
      <c r="B616" s="29" t="s">
        <v>248</v>
      </c>
      <c r="C616" s="29" t="s">
        <v>273</v>
      </c>
      <c r="D616" s="29" t="s">
        <v>252</v>
      </c>
      <c r="E616" s="29" t="s">
        <v>5</v>
      </c>
      <c r="F616" s="29" t="s">
        <v>259</v>
      </c>
      <c r="G616" s="29" t="s">
        <v>179</v>
      </c>
      <c r="H616" s="32">
        <v>1</v>
      </c>
      <c r="I616" s="32">
        <v>3187.31</v>
      </c>
      <c r="J616" s="32">
        <v>3187.31</v>
      </c>
      <c r="K616" s="29"/>
      <c r="M616" s="29"/>
      <c r="N616" s="29"/>
      <c r="P616" s="29"/>
      <c r="Q616" s="29"/>
      <c r="S616" s="29"/>
      <c r="T616" s="29"/>
      <c r="V616" s="29"/>
      <c r="X616" s="29"/>
      <c r="Y616" s="29"/>
      <c r="Z616" s="29"/>
    </row>
    <row r="617" spans="1:26" ht="15" thickBot="1">
      <c r="A617" s="49">
        <v>44968</v>
      </c>
      <c r="B617" s="29" t="s">
        <v>230</v>
      </c>
      <c r="C617" s="29" t="s">
        <v>241</v>
      </c>
      <c r="D617" s="29" t="s">
        <v>242</v>
      </c>
      <c r="E617" s="29" t="s">
        <v>8</v>
      </c>
      <c r="F617" s="29" t="s">
        <v>250</v>
      </c>
      <c r="G617" s="29" t="s">
        <v>293</v>
      </c>
      <c r="H617" s="32">
        <v>12</v>
      </c>
      <c r="I617" s="32">
        <v>1837.2</v>
      </c>
      <c r="J617" s="32">
        <v>22046.400000000001</v>
      </c>
      <c r="K617" s="29"/>
      <c r="M617" s="29"/>
      <c r="N617" s="29"/>
      <c r="P617" s="29"/>
      <c r="Q617" s="29"/>
      <c r="S617" s="29"/>
      <c r="T617" s="29"/>
      <c r="V617" s="29"/>
      <c r="X617" s="29"/>
      <c r="Y617" s="29"/>
      <c r="Z617" s="29"/>
    </row>
    <row r="618" spans="1:26" ht="15" thickBot="1">
      <c r="A618" s="32" t="s">
        <v>384</v>
      </c>
      <c r="B618" s="29" t="s">
        <v>248</v>
      </c>
      <c r="C618" s="29" t="s">
        <v>261</v>
      </c>
      <c r="D618" s="29" t="s">
        <v>247</v>
      </c>
      <c r="E618" s="29" t="s">
        <v>6</v>
      </c>
      <c r="F618" s="29" t="s">
        <v>259</v>
      </c>
      <c r="G618" s="29" t="s">
        <v>299</v>
      </c>
      <c r="H618" s="32">
        <v>2</v>
      </c>
      <c r="I618" s="32">
        <v>4081.92</v>
      </c>
      <c r="J618" s="32">
        <v>8163.84</v>
      </c>
      <c r="K618" s="29"/>
      <c r="M618" s="29"/>
      <c r="N618" s="29"/>
      <c r="P618" s="29"/>
      <c r="Q618" s="29"/>
      <c r="S618" s="29"/>
      <c r="T618" s="29"/>
      <c r="V618" s="29"/>
      <c r="X618" s="29"/>
      <c r="Y618" s="29"/>
      <c r="Z618" s="29"/>
    </row>
    <row r="619" spans="1:26" ht="15" thickBot="1">
      <c r="A619" s="32" t="s">
        <v>463</v>
      </c>
      <c r="B619" s="29" t="s">
        <v>235</v>
      </c>
      <c r="C619" s="29" t="s">
        <v>261</v>
      </c>
      <c r="D619" s="29" t="s">
        <v>247</v>
      </c>
      <c r="E619" s="29" t="s">
        <v>6</v>
      </c>
      <c r="F619" s="29" t="s">
        <v>250</v>
      </c>
      <c r="G619" s="29" t="s">
        <v>251</v>
      </c>
      <c r="H619" s="32">
        <v>20</v>
      </c>
      <c r="I619" s="32">
        <v>3184.86</v>
      </c>
      <c r="J619" s="32">
        <v>63697.2</v>
      </c>
      <c r="K619" s="29"/>
      <c r="M619" s="29"/>
      <c r="N619" s="29"/>
      <c r="P619" s="29"/>
      <c r="Q619" s="29"/>
      <c r="S619" s="29"/>
      <c r="T619" s="29"/>
      <c r="V619" s="29"/>
      <c r="X619" s="29"/>
      <c r="Y619" s="29"/>
      <c r="Z619" s="29"/>
    </row>
    <row r="620" spans="1:26" ht="15" thickBot="1">
      <c r="A620" s="32" t="s">
        <v>459</v>
      </c>
      <c r="B620" s="29" t="s">
        <v>254</v>
      </c>
      <c r="C620" s="29" t="s">
        <v>236</v>
      </c>
      <c r="D620" s="29" t="s">
        <v>237</v>
      </c>
      <c r="E620" s="29" t="s">
        <v>8</v>
      </c>
      <c r="F620" s="29" t="s">
        <v>233</v>
      </c>
      <c r="G620" s="29" t="s">
        <v>301</v>
      </c>
      <c r="H620" s="32">
        <v>8</v>
      </c>
      <c r="I620" s="32">
        <v>3402.24</v>
      </c>
      <c r="J620" s="32">
        <v>27217.919999999998</v>
      </c>
      <c r="K620" s="29"/>
      <c r="M620" s="29"/>
      <c r="N620" s="29"/>
      <c r="P620" s="29"/>
      <c r="Q620" s="29"/>
      <c r="S620" s="29"/>
      <c r="T620" s="29"/>
      <c r="V620" s="29"/>
      <c r="X620" s="29"/>
      <c r="Y620" s="29"/>
      <c r="Z620" s="29"/>
    </row>
    <row r="621" spans="1:26" ht="15" thickBot="1">
      <c r="A621" s="49">
        <v>44966</v>
      </c>
      <c r="B621" s="29" t="s">
        <v>254</v>
      </c>
      <c r="C621" s="29" t="s">
        <v>249</v>
      </c>
      <c r="D621" s="29" t="s">
        <v>232</v>
      </c>
      <c r="E621" s="29" t="s">
        <v>6</v>
      </c>
      <c r="F621" s="29" t="s">
        <v>233</v>
      </c>
      <c r="G621" s="29" t="s">
        <v>301</v>
      </c>
      <c r="H621" s="32">
        <v>10</v>
      </c>
      <c r="I621" s="32">
        <v>2750.69</v>
      </c>
      <c r="J621" s="32">
        <v>27506.9</v>
      </c>
      <c r="K621" s="29"/>
      <c r="M621" s="29"/>
      <c r="N621" s="29"/>
      <c r="P621" s="29"/>
      <c r="Q621" s="29"/>
      <c r="S621" s="29"/>
      <c r="T621" s="29"/>
      <c r="V621" s="29"/>
      <c r="X621" s="29"/>
      <c r="Y621" s="29"/>
      <c r="Z621" s="29"/>
    </row>
    <row r="622" spans="1:26" ht="15" thickBot="1">
      <c r="A622" s="49">
        <v>45233</v>
      </c>
      <c r="B622" s="29" t="s">
        <v>280</v>
      </c>
      <c r="C622" s="29" t="s">
        <v>274</v>
      </c>
      <c r="D622" s="29" t="s">
        <v>232</v>
      </c>
      <c r="E622" s="29" t="s">
        <v>6</v>
      </c>
      <c r="F622" s="29" t="s">
        <v>259</v>
      </c>
      <c r="G622" s="29" t="s">
        <v>179</v>
      </c>
      <c r="H622" s="32">
        <v>13</v>
      </c>
      <c r="I622" s="32">
        <v>4090.9</v>
      </c>
      <c r="J622" s="32">
        <v>53181.7</v>
      </c>
      <c r="K622" s="29"/>
      <c r="M622" s="29"/>
      <c r="N622" s="29"/>
      <c r="P622" s="29"/>
      <c r="Q622" s="29"/>
      <c r="S622" s="29"/>
      <c r="T622" s="29"/>
      <c r="V622" s="29"/>
      <c r="X622" s="29"/>
      <c r="Y622" s="29"/>
      <c r="Z622" s="29"/>
    </row>
    <row r="623" spans="1:26" ht="15" thickBot="1">
      <c r="A623" s="49">
        <v>45237</v>
      </c>
      <c r="B623" s="29" t="s">
        <v>271</v>
      </c>
      <c r="C623" s="29" t="s">
        <v>241</v>
      </c>
      <c r="D623" s="29" t="s">
        <v>242</v>
      </c>
      <c r="E623" s="29" t="s">
        <v>8</v>
      </c>
      <c r="F623" s="29" t="s">
        <v>250</v>
      </c>
      <c r="G623" s="29" t="s">
        <v>284</v>
      </c>
      <c r="H623" s="32">
        <v>3</v>
      </c>
      <c r="I623" s="32">
        <v>4234</v>
      </c>
      <c r="J623" s="32">
        <v>12702</v>
      </c>
      <c r="K623" s="29"/>
      <c r="M623" s="29"/>
      <c r="N623" s="29"/>
      <c r="P623" s="29"/>
      <c r="Q623" s="29"/>
      <c r="S623" s="29"/>
      <c r="T623" s="29"/>
      <c r="V623" s="29"/>
      <c r="X623" s="29"/>
      <c r="Y623" s="29"/>
      <c r="Z623" s="29"/>
    </row>
    <row r="624" spans="1:26" ht="15" thickBot="1">
      <c r="A624" s="49">
        <v>45083</v>
      </c>
      <c r="B624" s="29" t="s">
        <v>280</v>
      </c>
      <c r="C624" s="29" t="s">
        <v>244</v>
      </c>
      <c r="D624" s="29" t="s">
        <v>237</v>
      </c>
      <c r="E624" s="29" t="s">
        <v>8</v>
      </c>
      <c r="F624" s="29" t="s">
        <v>259</v>
      </c>
      <c r="G624" s="29" t="s">
        <v>298</v>
      </c>
      <c r="H624" s="32">
        <v>12</v>
      </c>
      <c r="I624" s="32">
        <v>1701.3</v>
      </c>
      <c r="J624" s="32">
        <v>20415.599999999999</v>
      </c>
      <c r="K624" s="29"/>
      <c r="M624" s="29"/>
      <c r="N624" s="29"/>
      <c r="P624" s="29"/>
      <c r="Q624" s="29"/>
      <c r="S624" s="29"/>
      <c r="T624" s="29"/>
      <c r="V624" s="29"/>
      <c r="X624" s="29"/>
      <c r="Y624" s="29"/>
      <c r="Z624" s="29"/>
    </row>
    <row r="625" spans="1:26" ht="15" thickBot="1">
      <c r="A625" s="49">
        <v>45053</v>
      </c>
      <c r="B625" s="29" t="s">
        <v>268</v>
      </c>
      <c r="C625" s="29" t="s">
        <v>255</v>
      </c>
      <c r="D625" s="29" t="s">
        <v>237</v>
      </c>
      <c r="E625" s="29" t="s">
        <v>8</v>
      </c>
      <c r="F625" s="29" t="s">
        <v>259</v>
      </c>
      <c r="G625" s="29" t="s">
        <v>299</v>
      </c>
      <c r="H625" s="32">
        <v>18</v>
      </c>
      <c r="I625" s="32">
        <v>1599.01</v>
      </c>
      <c r="J625" s="32">
        <v>28782.18</v>
      </c>
      <c r="K625" s="29"/>
      <c r="M625" s="29"/>
      <c r="N625" s="29"/>
      <c r="P625" s="29"/>
      <c r="Q625" s="29"/>
      <c r="S625" s="29"/>
      <c r="T625" s="29"/>
      <c r="V625" s="29"/>
      <c r="X625" s="29"/>
      <c r="Y625" s="29"/>
      <c r="Z625" s="29"/>
    </row>
    <row r="626" spans="1:26" ht="15" thickBot="1">
      <c r="A626" s="32" t="s">
        <v>361</v>
      </c>
      <c r="B626" s="29" t="s">
        <v>268</v>
      </c>
      <c r="C626" s="29" t="s">
        <v>283</v>
      </c>
      <c r="D626" s="29" t="s">
        <v>242</v>
      </c>
      <c r="E626" s="29" t="s">
        <v>8</v>
      </c>
      <c r="F626" s="29" t="s">
        <v>259</v>
      </c>
      <c r="G626" s="29" t="s">
        <v>179</v>
      </c>
      <c r="H626" s="32">
        <v>11</v>
      </c>
      <c r="I626" s="32">
        <v>4564.7299999999996</v>
      </c>
      <c r="J626" s="32">
        <v>50212.03</v>
      </c>
      <c r="K626" s="29"/>
      <c r="M626" s="29"/>
      <c r="N626" s="29"/>
      <c r="P626" s="29"/>
      <c r="Q626" s="29"/>
      <c r="S626" s="29"/>
      <c r="T626" s="29"/>
      <c r="V626" s="29"/>
      <c r="X626" s="29"/>
      <c r="Y626" s="29"/>
      <c r="Z626" s="29"/>
    </row>
    <row r="627" spans="1:26" ht="15" thickBot="1">
      <c r="A627" s="49">
        <v>44992</v>
      </c>
      <c r="B627" s="29" t="s">
        <v>230</v>
      </c>
      <c r="C627" s="29" t="s">
        <v>261</v>
      </c>
      <c r="D627" s="29" t="s">
        <v>247</v>
      </c>
      <c r="E627" s="29" t="s">
        <v>6</v>
      </c>
      <c r="F627" s="29" t="s">
        <v>233</v>
      </c>
      <c r="G627" s="29" t="s">
        <v>287</v>
      </c>
      <c r="H627" s="32">
        <v>14</v>
      </c>
      <c r="I627" s="32">
        <v>3507.75</v>
      </c>
      <c r="J627" s="32">
        <v>49108.5</v>
      </c>
      <c r="K627" s="29"/>
      <c r="M627" s="29"/>
      <c r="N627" s="29"/>
      <c r="P627" s="29"/>
      <c r="Q627" s="29"/>
      <c r="S627" s="29"/>
      <c r="T627" s="29"/>
      <c r="V627" s="29"/>
      <c r="X627" s="29"/>
      <c r="Y627" s="29"/>
      <c r="Z627" s="29"/>
    </row>
    <row r="628" spans="1:26" ht="15" thickBot="1">
      <c r="A628" s="32" t="s">
        <v>356</v>
      </c>
      <c r="B628" s="29" t="s">
        <v>260</v>
      </c>
      <c r="C628" s="29" t="s">
        <v>313</v>
      </c>
      <c r="D628" s="29" t="s">
        <v>252</v>
      </c>
      <c r="E628" s="29" t="s">
        <v>5</v>
      </c>
      <c r="F628" s="29" t="s">
        <v>238</v>
      </c>
      <c r="G628" s="29" t="s">
        <v>256</v>
      </c>
      <c r="H628" s="32">
        <v>4</v>
      </c>
      <c r="I628" s="32">
        <v>810.38</v>
      </c>
      <c r="J628" s="32">
        <v>3241.52</v>
      </c>
      <c r="K628" s="29"/>
      <c r="M628" s="29"/>
      <c r="N628" s="29"/>
      <c r="P628" s="29"/>
      <c r="Q628" s="29"/>
      <c r="S628" s="29"/>
      <c r="T628" s="29"/>
      <c r="V628" s="29"/>
      <c r="X628" s="29"/>
      <c r="Y628" s="29"/>
      <c r="Z628" s="29"/>
    </row>
    <row r="629" spans="1:26" ht="15" thickBot="1">
      <c r="A629" s="32" t="s">
        <v>292</v>
      </c>
      <c r="B629" s="29" t="s">
        <v>230</v>
      </c>
      <c r="C629" s="29" t="s">
        <v>274</v>
      </c>
      <c r="D629" s="29" t="s">
        <v>232</v>
      </c>
      <c r="E629" s="29" t="s">
        <v>6</v>
      </c>
      <c r="F629" s="29" t="s">
        <v>259</v>
      </c>
      <c r="G629" s="29" t="s">
        <v>298</v>
      </c>
      <c r="H629" s="32">
        <v>7</v>
      </c>
      <c r="I629" s="32">
        <v>698.8</v>
      </c>
      <c r="J629" s="32">
        <v>4891.6000000000004</v>
      </c>
      <c r="K629" s="29"/>
      <c r="M629" s="29"/>
      <c r="N629" s="29"/>
      <c r="P629" s="29"/>
      <c r="Q629" s="29"/>
      <c r="S629" s="29"/>
      <c r="T629" s="29"/>
      <c r="V629" s="29"/>
      <c r="X629" s="29"/>
      <c r="Y629" s="29"/>
      <c r="Z629" s="29"/>
    </row>
    <row r="630" spans="1:26" ht="15" thickBot="1">
      <c r="A630" s="49">
        <v>45208</v>
      </c>
      <c r="B630" s="29" t="s">
        <v>271</v>
      </c>
      <c r="C630" s="29" t="s">
        <v>236</v>
      </c>
      <c r="D630" s="29" t="s">
        <v>237</v>
      </c>
      <c r="E630" s="29" t="s">
        <v>8</v>
      </c>
      <c r="F630" s="29" t="s">
        <v>259</v>
      </c>
      <c r="G630" s="29" t="s">
        <v>299</v>
      </c>
      <c r="H630" s="32">
        <v>14</v>
      </c>
      <c r="I630" s="32">
        <v>2833.44</v>
      </c>
      <c r="J630" s="32">
        <v>39668.160000000003</v>
      </c>
      <c r="K630" s="29"/>
      <c r="M630" s="29"/>
      <c r="N630" s="29"/>
      <c r="P630" s="29"/>
      <c r="Q630" s="29"/>
      <c r="S630" s="29"/>
      <c r="T630" s="29"/>
      <c r="V630" s="29"/>
      <c r="X630" s="29"/>
      <c r="Y630" s="29"/>
      <c r="Z630" s="29"/>
    </row>
    <row r="631" spans="1:26" ht="15" thickBot="1">
      <c r="A631" s="32" t="s">
        <v>363</v>
      </c>
      <c r="B631" s="29" t="s">
        <v>248</v>
      </c>
      <c r="C631" s="29" t="s">
        <v>241</v>
      </c>
      <c r="D631" s="29" t="s">
        <v>242</v>
      </c>
      <c r="E631" s="29" t="s">
        <v>8</v>
      </c>
      <c r="F631" s="29" t="s">
        <v>250</v>
      </c>
      <c r="G631" s="29" t="s">
        <v>284</v>
      </c>
      <c r="H631" s="32">
        <v>20</v>
      </c>
      <c r="I631" s="32">
        <v>2409.6799999999998</v>
      </c>
      <c r="J631" s="32">
        <v>48193.599999999999</v>
      </c>
      <c r="K631" s="29"/>
      <c r="M631" s="29"/>
      <c r="N631" s="29"/>
      <c r="P631" s="29"/>
      <c r="Q631" s="29"/>
      <c r="S631" s="29"/>
      <c r="T631" s="29"/>
      <c r="V631" s="29"/>
      <c r="X631" s="29"/>
      <c r="Y631" s="29"/>
      <c r="Z631" s="29"/>
    </row>
    <row r="632" spans="1:26" ht="15" thickBot="1">
      <c r="A632" s="49">
        <v>45086</v>
      </c>
      <c r="B632" s="29" t="s">
        <v>271</v>
      </c>
      <c r="C632" s="29" t="s">
        <v>255</v>
      </c>
      <c r="D632" s="29" t="s">
        <v>237</v>
      </c>
      <c r="E632" s="29" t="s">
        <v>8</v>
      </c>
      <c r="F632" s="29" t="s">
        <v>250</v>
      </c>
      <c r="G632" s="29" t="s">
        <v>293</v>
      </c>
      <c r="H632" s="32">
        <v>17</v>
      </c>
      <c r="I632" s="32">
        <v>2448.5100000000002</v>
      </c>
      <c r="J632" s="32">
        <v>41624.67</v>
      </c>
      <c r="K632" s="29"/>
      <c r="M632" s="29"/>
      <c r="N632" s="29"/>
      <c r="P632" s="29"/>
      <c r="Q632" s="29"/>
      <c r="S632" s="29"/>
      <c r="T632" s="29"/>
      <c r="V632" s="29"/>
      <c r="X632" s="29"/>
      <c r="Y632" s="29"/>
      <c r="Z632" s="29"/>
    </row>
    <row r="633" spans="1:26" ht="15" thickBot="1">
      <c r="A633" s="49">
        <v>45207</v>
      </c>
      <c r="B633" s="29" t="s">
        <v>280</v>
      </c>
      <c r="C633" s="29" t="s">
        <v>255</v>
      </c>
      <c r="D633" s="29" t="s">
        <v>237</v>
      </c>
      <c r="E633" s="29" t="s">
        <v>8</v>
      </c>
      <c r="F633" s="29" t="s">
        <v>245</v>
      </c>
      <c r="G633" s="29" t="s">
        <v>266</v>
      </c>
      <c r="H633" s="32">
        <v>7</v>
      </c>
      <c r="I633" s="32">
        <v>4029.58</v>
      </c>
      <c r="J633" s="32">
        <v>28207.06</v>
      </c>
      <c r="K633" s="29"/>
      <c r="M633" s="29"/>
      <c r="N633" s="29"/>
      <c r="P633" s="29"/>
      <c r="Q633" s="29"/>
      <c r="S633" s="29"/>
      <c r="T633" s="29"/>
      <c r="V633" s="29"/>
      <c r="X633" s="29"/>
      <c r="Y633" s="29"/>
      <c r="Z633" s="29"/>
    </row>
    <row r="634" spans="1:26" ht="15" thickBot="1">
      <c r="A634" s="32" t="s">
        <v>445</v>
      </c>
      <c r="B634" s="29" t="s">
        <v>248</v>
      </c>
      <c r="C634" s="29" t="s">
        <v>244</v>
      </c>
      <c r="D634" s="29" t="s">
        <v>237</v>
      </c>
      <c r="E634" s="29" t="s">
        <v>8</v>
      </c>
      <c r="F634" s="29" t="s">
        <v>250</v>
      </c>
      <c r="G634" s="29" t="s">
        <v>277</v>
      </c>
      <c r="H634" s="32">
        <v>15</v>
      </c>
      <c r="I634" s="32">
        <v>3999.29</v>
      </c>
      <c r="J634" s="32">
        <v>59989.35</v>
      </c>
      <c r="K634" s="29"/>
      <c r="M634" s="29"/>
      <c r="N634" s="29"/>
      <c r="P634" s="29"/>
      <c r="Q634" s="29"/>
      <c r="S634" s="29"/>
      <c r="T634" s="29"/>
      <c r="V634" s="29"/>
      <c r="X634" s="29"/>
      <c r="Y634" s="29"/>
      <c r="Z634" s="29"/>
    </row>
    <row r="635" spans="1:26" ht="15" thickBot="1">
      <c r="A635" s="32" t="s">
        <v>396</v>
      </c>
      <c r="B635" s="29" t="s">
        <v>257</v>
      </c>
      <c r="C635" s="29" t="s">
        <v>258</v>
      </c>
      <c r="D635" s="29" t="s">
        <v>242</v>
      </c>
      <c r="E635" s="29" t="s">
        <v>8</v>
      </c>
      <c r="F635" s="29" t="s">
        <v>238</v>
      </c>
      <c r="G635" s="29" t="s">
        <v>296</v>
      </c>
      <c r="H635" s="32">
        <v>17</v>
      </c>
      <c r="I635" s="32">
        <v>583.88</v>
      </c>
      <c r="J635" s="32">
        <v>9925.9599999999991</v>
      </c>
      <c r="K635" s="29"/>
      <c r="M635" s="29"/>
      <c r="N635" s="29"/>
      <c r="P635" s="29"/>
      <c r="Q635" s="29"/>
      <c r="S635" s="29"/>
      <c r="T635" s="29"/>
      <c r="V635" s="29"/>
      <c r="X635" s="29"/>
      <c r="Y635" s="29"/>
      <c r="Z635" s="29"/>
    </row>
    <row r="636" spans="1:26" ht="15" thickBot="1">
      <c r="A636" s="49">
        <v>44965</v>
      </c>
      <c r="B636" s="29" t="s">
        <v>280</v>
      </c>
      <c r="C636" s="29" t="s">
        <v>276</v>
      </c>
      <c r="D636" s="29" t="s">
        <v>247</v>
      </c>
      <c r="E636" s="29" t="s">
        <v>6</v>
      </c>
      <c r="F636" s="29" t="s">
        <v>245</v>
      </c>
      <c r="G636" s="29" t="s">
        <v>269</v>
      </c>
      <c r="H636" s="32">
        <v>7</v>
      </c>
      <c r="I636" s="32">
        <v>1319.32</v>
      </c>
      <c r="J636" s="32">
        <v>9235.24</v>
      </c>
      <c r="K636" s="29"/>
      <c r="M636" s="29"/>
      <c r="N636" s="29"/>
      <c r="P636" s="29"/>
      <c r="Q636" s="29"/>
      <c r="S636" s="29"/>
      <c r="T636" s="29"/>
      <c r="V636" s="29"/>
      <c r="X636" s="29"/>
      <c r="Y636" s="29"/>
      <c r="Z636" s="29"/>
    </row>
    <row r="637" spans="1:26" ht="15" thickBot="1">
      <c r="A637" s="32" t="s">
        <v>387</v>
      </c>
      <c r="B637" s="29" t="s">
        <v>254</v>
      </c>
      <c r="C637" s="29" t="s">
        <v>231</v>
      </c>
      <c r="D637" s="29" t="s">
        <v>232</v>
      </c>
      <c r="E637" s="29" t="s">
        <v>6</v>
      </c>
      <c r="F637" s="29" t="s">
        <v>233</v>
      </c>
      <c r="G637" s="29" t="s">
        <v>304</v>
      </c>
      <c r="H637" s="32">
        <v>15</v>
      </c>
      <c r="I637" s="32">
        <v>2698.6</v>
      </c>
      <c r="J637" s="32">
        <v>40479</v>
      </c>
      <c r="K637" s="29"/>
      <c r="M637" s="29"/>
      <c r="N637" s="29"/>
      <c r="P637" s="29"/>
      <c r="Q637" s="29"/>
      <c r="S637" s="29"/>
      <c r="T637" s="29"/>
      <c r="V637" s="29"/>
      <c r="X637" s="29"/>
      <c r="Y637" s="29"/>
      <c r="Z637" s="29"/>
    </row>
    <row r="638" spans="1:26" ht="15" thickBot="1">
      <c r="A638" s="32" t="s">
        <v>330</v>
      </c>
      <c r="B638" s="29" t="s">
        <v>240</v>
      </c>
      <c r="C638" s="29" t="s">
        <v>241</v>
      </c>
      <c r="D638" s="29" t="s">
        <v>242</v>
      </c>
      <c r="E638" s="29" t="s">
        <v>8</v>
      </c>
      <c r="F638" s="29" t="s">
        <v>238</v>
      </c>
      <c r="G638" s="29" t="s">
        <v>296</v>
      </c>
      <c r="H638" s="32">
        <v>19</v>
      </c>
      <c r="I638" s="32">
        <v>4364.6400000000003</v>
      </c>
      <c r="J638" s="32">
        <v>82928.160000000003</v>
      </c>
      <c r="K638" s="29"/>
      <c r="M638" s="29"/>
      <c r="N638" s="29"/>
      <c r="P638" s="29"/>
      <c r="Q638" s="29"/>
      <c r="S638" s="29"/>
      <c r="T638" s="29"/>
      <c r="V638" s="29"/>
      <c r="X638" s="29"/>
      <c r="Y638" s="29"/>
      <c r="Z638" s="29"/>
    </row>
    <row r="639" spans="1:26" ht="15" thickBot="1">
      <c r="A639" s="32" t="s">
        <v>413</v>
      </c>
      <c r="B639" s="29" t="s">
        <v>268</v>
      </c>
      <c r="C639" s="29" t="s">
        <v>244</v>
      </c>
      <c r="D639" s="29" t="s">
        <v>237</v>
      </c>
      <c r="E639" s="29" t="s">
        <v>8</v>
      </c>
      <c r="F639" s="29" t="s">
        <v>233</v>
      </c>
      <c r="G639" s="29" t="s">
        <v>287</v>
      </c>
      <c r="H639" s="32">
        <v>8</v>
      </c>
      <c r="I639" s="32">
        <v>4740.97</v>
      </c>
      <c r="J639" s="32">
        <v>37927.760000000002</v>
      </c>
      <c r="K639" s="29"/>
      <c r="M639" s="29"/>
      <c r="N639" s="29"/>
      <c r="P639" s="29"/>
      <c r="Q639" s="29"/>
      <c r="S639" s="29"/>
      <c r="T639" s="29"/>
      <c r="V639" s="29"/>
      <c r="X639" s="29"/>
      <c r="Y639" s="29"/>
      <c r="Z639" s="29"/>
    </row>
    <row r="640" spans="1:26" ht="15" thickBot="1">
      <c r="A640" s="32" t="s">
        <v>351</v>
      </c>
      <c r="B640" s="29" t="s">
        <v>254</v>
      </c>
      <c r="C640" s="29" t="s">
        <v>258</v>
      </c>
      <c r="D640" s="29" t="s">
        <v>242</v>
      </c>
      <c r="E640" s="29" t="s">
        <v>8</v>
      </c>
      <c r="F640" s="29" t="s">
        <v>238</v>
      </c>
      <c r="G640" s="29" t="s">
        <v>296</v>
      </c>
      <c r="H640" s="32">
        <v>4</v>
      </c>
      <c r="I640" s="32">
        <v>917.97</v>
      </c>
      <c r="J640" s="32">
        <v>3671.88</v>
      </c>
      <c r="K640" s="29"/>
      <c r="M640" s="29"/>
      <c r="N640" s="29"/>
      <c r="P640" s="29"/>
      <c r="Q640" s="29"/>
      <c r="S640" s="29"/>
      <c r="T640" s="29"/>
      <c r="V640" s="29"/>
      <c r="X640" s="29"/>
      <c r="Y640" s="29"/>
      <c r="Z640" s="29"/>
    </row>
    <row r="641" spans="1:26" ht="15" thickBot="1">
      <c r="A641" s="49">
        <v>45174</v>
      </c>
      <c r="B641" s="29" t="s">
        <v>254</v>
      </c>
      <c r="C641" s="29" t="s">
        <v>276</v>
      </c>
      <c r="D641" s="29" t="s">
        <v>247</v>
      </c>
      <c r="E641" s="29" t="s">
        <v>6</v>
      </c>
      <c r="F641" s="29" t="s">
        <v>245</v>
      </c>
      <c r="G641" s="29" t="s">
        <v>266</v>
      </c>
      <c r="H641" s="32">
        <v>10</v>
      </c>
      <c r="I641" s="32">
        <v>224.53</v>
      </c>
      <c r="J641" s="32">
        <v>2245.3000000000002</v>
      </c>
      <c r="K641" s="29"/>
      <c r="M641" s="29"/>
      <c r="N641" s="29"/>
      <c r="P641" s="29"/>
      <c r="Q641" s="29"/>
      <c r="S641" s="29"/>
      <c r="T641" s="29"/>
      <c r="V641" s="29"/>
      <c r="X641" s="29"/>
      <c r="Y641" s="29"/>
      <c r="Z641" s="29"/>
    </row>
    <row r="642" spans="1:26" ht="15" thickBot="1">
      <c r="A642" s="32" t="s">
        <v>464</v>
      </c>
      <c r="B642" s="29" t="s">
        <v>235</v>
      </c>
      <c r="C642" s="29" t="s">
        <v>313</v>
      </c>
      <c r="D642" s="29" t="s">
        <v>252</v>
      </c>
      <c r="E642" s="29" t="s">
        <v>5</v>
      </c>
      <c r="F642" s="29" t="s">
        <v>238</v>
      </c>
      <c r="G642" s="29" t="s">
        <v>296</v>
      </c>
      <c r="H642" s="32">
        <v>1</v>
      </c>
      <c r="I642" s="32">
        <v>3246.08</v>
      </c>
      <c r="J642" s="32">
        <v>3246.08</v>
      </c>
      <c r="K642" s="29"/>
      <c r="M642" s="29"/>
      <c r="N642" s="29"/>
      <c r="P642" s="29"/>
      <c r="Q642" s="29"/>
      <c r="S642" s="29"/>
      <c r="T642" s="29"/>
      <c r="V642" s="29"/>
      <c r="X642" s="29"/>
      <c r="Y642" s="29"/>
      <c r="Z642" s="29"/>
    </row>
    <row r="643" spans="1:26" ht="15" thickBot="1">
      <c r="A643" s="32" t="s">
        <v>353</v>
      </c>
      <c r="B643" s="29" t="s">
        <v>240</v>
      </c>
      <c r="C643" s="29" t="s">
        <v>231</v>
      </c>
      <c r="D643" s="29" t="s">
        <v>232</v>
      </c>
      <c r="E643" s="29" t="s">
        <v>6</v>
      </c>
      <c r="F643" s="29" t="s">
        <v>233</v>
      </c>
      <c r="G643" s="29" t="s">
        <v>304</v>
      </c>
      <c r="H643" s="32">
        <v>16</v>
      </c>
      <c r="I643" s="32">
        <v>1411.33</v>
      </c>
      <c r="J643" s="32">
        <v>22581.279999999999</v>
      </c>
      <c r="K643" s="29"/>
      <c r="M643" s="29"/>
      <c r="N643" s="29"/>
      <c r="P643" s="29"/>
      <c r="Q643" s="29"/>
      <c r="S643" s="29"/>
      <c r="T643" s="29"/>
      <c r="V643" s="29"/>
      <c r="X643" s="29"/>
      <c r="Y643" s="29"/>
      <c r="Z643" s="29"/>
    </row>
    <row r="644" spans="1:26" ht="15" thickBot="1">
      <c r="A644" s="49">
        <v>45051</v>
      </c>
      <c r="B644" s="29" t="s">
        <v>230</v>
      </c>
      <c r="C644" s="29" t="s">
        <v>255</v>
      </c>
      <c r="D644" s="29" t="s">
        <v>237</v>
      </c>
      <c r="E644" s="29" t="s">
        <v>8</v>
      </c>
      <c r="F644" s="29" t="s">
        <v>245</v>
      </c>
      <c r="G644" s="29" t="s">
        <v>295</v>
      </c>
      <c r="H644" s="32">
        <v>19</v>
      </c>
      <c r="I644" s="32">
        <v>2174.06</v>
      </c>
      <c r="J644" s="32">
        <v>41307.14</v>
      </c>
      <c r="K644" s="29"/>
      <c r="M644" s="29"/>
      <c r="N644" s="29"/>
      <c r="P644" s="29"/>
      <c r="Q644" s="29"/>
      <c r="S644" s="29"/>
      <c r="T644" s="29"/>
      <c r="V644" s="29"/>
      <c r="X644" s="29"/>
      <c r="Y644" s="29"/>
      <c r="Z644" s="29"/>
    </row>
    <row r="645" spans="1:26" ht="15" thickBot="1">
      <c r="A645" s="49">
        <v>45203</v>
      </c>
      <c r="B645" s="29" t="s">
        <v>230</v>
      </c>
      <c r="C645" s="29" t="s">
        <v>244</v>
      </c>
      <c r="D645" s="29" t="s">
        <v>237</v>
      </c>
      <c r="E645" s="29" t="s">
        <v>8</v>
      </c>
      <c r="F645" s="29" t="s">
        <v>250</v>
      </c>
      <c r="G645" s="29" t="s">
        <v>277</v>
      </c>
      <c r="H645" s="32">
        <v>2</v>
      </c>
      <c r="I645" s="32">
        <v>1194.4000000000001</v>
      </c>
      <c r="J645" s="32">
        <v>2388.8000000000002</v>
      </c>
      <c r="K645" s="29"/>
      <c r="M645" s="29"/>
      <c r="N645" s="29"/>
      <c r="P645" s="29"/>
      <c r="Q645" s="29"/>
      <c r="S645" s="29"/>
      <c r="T645" s="29"/>
      <c r="V645" s="29"/>
      <c r="X645" s="29"/>
      <c r="Y645" s="29"/>
      <c r="Z645" s="29"/>
    </row>
    <row r="646" spans="1:26" ht="15" thickBot="1">
      <c r="A646" s="32" t="s">
        <v>461</v>
      </c>
      <c r="B646" s="29" t="s">
        <v>271</v>
      </c>
      <c r="C646" s="29" t="s">
        <v>276</v>
      </c>
      <c r="D646" s="29" t="s">
        <v>247</v>
      </c>
      <c r="E646" s="29" t="s">
        <v>6</v>
      </c>
      <c r="F646" s="29" t="s">
        <v>245</v>
      </c>
      <c r="G646" s="29" t="s">
        <v>266</v>
      </c>
      <c r="H646" s="32">
        <v>2</v>
      </c>
      <c r="I646" s="32">
        <v>3726.58</v>
      </c>
      <c r="J646" s="32">
        <v>7453.16</v>
      </c>
      <c r="K646" s="29"/>
      <c r="M646" s="29"/>
      <c r="N646" s="29"/>
      <c r="P646" s="29"/>
      <c r="Q646" s="29"/>
      <c r="S646" s="29"/>
      <c r="T646" s="29"/>
      <c r="V646" s="29"/>
      <c r="X646" s="29"/>
      <c r="Y646" s="29"/>
      <c r="Z646" s="29"/>
    </row>
    <row r="647" spans="1:26" ht="15" thickBot="1">
      <c r="A647" s="49">
        <v>45144</v>
      </c>
      <c r="B647" s="29" t="s">
        <v>257</v>
      </c>
      <c r="C647" s="29" t="s">
        <v>255</v>
      </c>
      <c r="D647" s="29" t="s">
        <v>237</v>
      </c>
      <c r="E647" s="29" t="s">
        <v>8</v>
      </c>
      <c r="F647" s="29" t="s">
        <v>233</v>
      </c>
      <c r="G647" s="29" t="s">
        <v>301</v>
      </c>
      <c r="H647" s="32">
        <v>5</v>
      </c>
      <c r="I647" s="32">
        <v>1599.65</v>
      </c>
      <c r="J647" s="32">
        <v>7998.25</v>
      </c>
      <c r="K647" s="29"/>
      <c r="M647" s="29"/>
      <c r="N647" s="29"/>
      <c r="P647" s="29"/>
      <c r="Q647" s="29"/>
      <c r="S647" s="29"/>
      <c r="T647" s="29"/>
      <c r="V647" s="29"/>
      <c r="X647" s="29"/>
      <c r="Y647" s="29"/>
      <c r="Z647" s="29"/>
    </row>
    <row r="648" spans="1:26" ht="15" thickBot="1">
      <c r="A648" s="32" t="s">
        <v>272</v>
      </c>
      <c r="B648" s="29" t="s">
        <v>268</v>
      </c>
      <c r="C648" s="29" t="s">
        <v>281</v>
      </c>
      <c r="D648" s="29" t="s">
        <v>252</v>
      </c>
      <c r="E648" s="29" t="s">
        <v>5</v>
      </c>
      <c r="F648" s="29" t="s">
        <v>233</v>
      </c>
      <c r="G648" s="29" t="s">
        <v>234</v>
      </c>
      <c r="H648" s="32">
        <v>16</v>
      </c>
      <c r="I648" s="32">
        <v>1628.19</v>
      </c>
      <c r="J648" s="32">
        <v>26051.040000000001</v>
      </c>
      <c r="K648" s="29"/>
      <c r="M648" s="29"/>
      <c r="N648" s="29"/>
      <c r="P648" s="29"/>
      <c r="Q648" s="29"/>
      <c r="S648" s="29"/>
      <c r="T648" s="29"/>
      <c r="V648" s="29"/>
      <c r="X648" s="29"/>
      <c r="Y648" s="29"/>
      <c r="Z648" s="29"/>
    </row>
    <row r="649" spans="1:26" ht="15" thickBot="1">
      <c r="A649" s="32" t="s">
        <v>403</v>
      </c>
      <c r="B649" s="29" t="s">
        <v>268</v>
      </c>
      <c r="C649" s="29" t="s">
        <v>241</v>
      </c>
      <c r="D649" s="29" t="s">
        <v>242</v>
      </c>
      <c r="E649" s="29" t="s">
        <v>8</v>
      </c>
      <c r="F649" s="29" t="s">
        <v>245</v>
      </c>
      <c r="G649" s="29" t="s">
        <v>269</v>
      </c>
      <c r="H649" s="32">
        <v>17</v>
      </c>
      <c r="I649" s="32">
        <v>3381.75</v>
      </c>
      <c r="J649" s="32">
        <v>57489.75</v>
      </c>
      <c r="K649" s="29"/>
      <c r="M649" s="29"/>
      <c r="N649" s="29"/>
      <c r="P649" s="29"/>
      <c r="Q649" s="29"/>
      <c r="S649" s="29"/>
      <c r="T649" s="29"/>
      <c r="V649" s="29"/>
      <c r="X649" s="29"/>
      <c r="Y649" s="29"/>
      <c r="Z649" s="29"/>
    </row>
    <row r="650" spans="1:26" ht="15" thickBot="1">
      <c r="A650" s="32" t="s">
        <v>325</v>
      </c>
      <c r="B650" s="29" t="s">
        <v>235</v>
      </c>
      <c r="C650" s="29" t="s">
        <v>258</v>
      </c>
      <c r="D650" s="29" t="s">
        <v>242</v>
      </c>
      <c r="E650" s="29" t="s">
        <v>8</v>
      </c>
      <c r="F650" s="29" t="s">
        <v>238</v>
      </c>
      <c r="G650" s="29" t="s">
        <v>239</v>
      </c>
      <c r="H650" s="32">
        <v>18</v>
      </c>
      <c r="I650" s="32">
        <v>3627.09</v>
      </c>
      <c r="J650" s="32">
        <v>65287.62</v>
      </c>
      <c r="K650" s="29"/>
      <c r="M650" s="29"/>
      <c r="N650" s="29"/>
      <c r="P650" s="29"/>
      <c r="Q650" s="29"/>
      <c r="S650" s="29"/>
      <c r="T650" s="29"/>
      <c r="V650" s="29"/>
      <c r="X650" s="29"/>
      <c r="Y650" s="29"/>
      <c r="Z650" s="29"/>
    </row>
    <row r="651" spans="1:26" ht="15" thickBot="1">
      <c r="A651" s="32" t="s">
        <v>343</v>
      </c>
      <c r="B651" s="29" t="s">
        <v>230</v>
      </c>
      <c r="C651" s="29" t="s">
        <v>276</v>
      </c>
      <c r="D651" s="29" t="s">
        <v>247</v>
      </c>
      <c r="E651" s="29" t="s">
        <v>6</v>
      </c>
      <c r="F651" s="29" t="s">
        <v>250</v>
      </c>
      <c r="G651" s="29" t="s">
        <v>251</v>
      </c>
      <c r="H651" s="32">
        <v>2</v>
      </c>
      <c r="I651" s="32">
        <v>3106.64</v>
      </c>
      <c r="J651" s="32">
        <v>6213.28</v>
      </c>
      <c r="K651" s="29"/>
      <c r="M651" s="29"/>
      <c r="N651" s="29"/>
      <c r="P651" s="29"/>
      <c r="Q651" s="29"/>
      <c r="S651" s="29"/>
      <c r="T651" s="29"/>
      <c r="V651" s="29"/>
      <c r="X651" s="29"/>
      <c r="Y651" s="29"/>
      <c r="Z651" s="29"/>
    </row>
    <row r="652" spans="1:26" ht="15" thickBot="1">
      <c r="A652" s="49">
        <v>45202</v>
      </c>
      <c r="B652" s="29" t="s">
        <v>230</v>
      </c>
      <c r="C652" s="29" t="s">
        <v>274</v>
      </c>
      <c r="D652" s="29" t="s">
        <v>232</v>
      </c>
      <c r="E652" s="29" t="s">
        <v>6</v>
      </c>
      <c r="F652" s="29" t="s">
        <v>259</v>
      </c>
      <c r="G652" s="29" t="s">
        <v>182</v>
      </c>
      <c r="H652" s="32">
        <v>15</v>
      </c>
      <c r="I652" s="32">
        <v>4310.01</v>
      </c>
      <c r="J652" s="32">
        <v>64650.15</v>
      </c>
      <c r="K652" s="29"/>
      <c r="M652" s="29"/>
      <c r="N652" s="29"/>
      <c r="P652" s="29"/>
      <c r="Q652" s="29"/>
      <c r="S652" s="29"/>
      <c r="T652" s="29"/>
      <c r="V652" s="29"/>
      <c r="X652" s="29"/>
      <c r="Y652" s="29"/>
      <c r="Z652" s="29"/>
    </row>
    <row r="653" spans="1:26" ht="15" thickBot="1">
      <c r="A653" s="49">
        <v>44988</v>
      </c>
      <c r="B653" s="29" t="s">
        <v>260</v>
      </c>
      <c r="C653" s="29" t="s">
        <v>316</v>
      </c>
      <c r="D653" s="29" t="s">
        <v>247</v>
      </c>
      <c r="E653" s="29" t="s">
        <v>6</v>
      </c>
      <c r="F653" s="29" t="s">
        <v>233</v>
      </c>
      <c r="G653" s="29" t="s">
        <v>234</v>
      </c>
      <c r="H653" s="32">
        <v>14</v>
      </c>
      <c r="I653" s="32">
        <v>3352.19</v>
      </c>
      <c r="J653" s="32">
        <v>46930.66</v>
      </c>
      <c r="K653" s="29"/>
      <c r="M653" s="29"/>
      <c r="N653" s="29"/>
      <c r="P653" s="29"/>
      <c r="Q653" s="29"/>
      <c r="S653" s="29"/>
      <c r="T653" s="29"/>
      <c r="V653" s="29"/>
      <c r="X653" s="29"/>
      <c r="Y653" s="29"/>
      <c r="Z653" s="29"/>
    </row>
    <row r="654" spans="1:26" ht="15" thickBot="1">
      <c r="A654" s="32" t="s">
        <v>425</v>
      </c>
      <c r="B654" s="29" t="s">
        <v>248</v>
      </c>
      <c r="C654" s="29" t="s">
        <v>281</v>
      </c>
      <c r="D654" s="29" t="s">
        <v>252</v>
      </c>
      <c r="E654" s="29" t="s">
        <v>5</v>
      </c>
      <c r="F654" s="29" t="s">
        <v>259</v>
      </c>
      <c r="G654" s="29" t="s">
        <v>298</v>
      </c>
      <c r="H654" s="32">
        <v>18</v>
      </c>
      <c r="I654" s="32">
        <v>214.47</v>
      </c>
      <c r="J654" s="32">
        <v>3860.46</v>
      </c>
      <c r="K654" s="29"/>
      <c r="M654" s="29"/>
      <c r="N654" s="29"/>
      <c r="P654" s="29"/>
      <c r="Q654" s="29"/>
      <c r="S654" s="29"/>
      <c r="T654" s="29"/>
      <c r="V654" s="29"/>
      <c r="X654" s="29"/>
      <c r="Y654" s="29"/>
      <c r="Z654" s="29"/>
    </row>
    <row r="655" spans="1:26" ht="15" thickBot="1">
      <c r="A655" s="32" t="s">
        <v>363</v>
      </c>
      <c r="B655" s="29" t="s">
        <v>230</v>
      </c>
      <c r="C655" s="29" t="s">
        <v>283</v>
      </c>
      <c r="D655" s="29" t="s">
        <v>242</v>
      </c>
      <c r="E655" s="29" t="s">
        <v>8</v>
      </c>
      <c r="F655" s="29" t="s">
        <v>250</v>
      </c>
      <c r="G655" s="29" t="s">
        <v>251</v>
      </c>
      <c r="H655" s="32">
        <v>3</v>
      </c>
      <c r="I655" s="32">
        <v>1810.87</v>
      </c>
      <c r="J655" s="32">
        <v>5432.61</v>
      </c>
      <c r="K655" s="29"/>
      <c r="M655" s="29"/>
      <c r="N655" s="29"/>
      <c r="P655" s="29"/>
      <c r="Q655" s="29"/>
      <c r="S655" s="29"/>
      <c r="T655" s="29"/>
      <c r="V655" s="29"/>
      <c r="X655" s="29"/>
      <c r="Y655" s="29"/>
      <c r="Z655" s="29"/>
    </row>
    <row r="656" spans="1:26" ht="15" thickBot="1">
      <c r="A656" s="32" t="s">
        <v>345</v>
      </c>
      <c r="B656" s="29" t="s">
        <v>271</v>
      </c>
      <c r="C656" s="29" t="s">
        <v>273</v>
      </c>
      <c r="D656" s="29" t="s">
        <v>252</v>
      </c>
      <c r="E656" s="29" t="s">
        <v>5</v>
      </c>
      <c r="F656" s="29" t="s">
        <v>233</v>
      </c>
      <c r="G656" s="29" t="s">
        <v>301</v>
      </c>
      <c r="H656" s="32">
        <v>3</v>
      </c>
      <c r="I656" s="32">
        <v>1105.46</v>
      </c>
      <c r="J656" s="32">
        <v>3316.38</v>
      </c>
      <c r="K656" s="29"/>
      <c r="M656" s="29"/>
      <c r="N656" s="29"/>
      <c r="P656" s="29"/>
      <c r="Q656" s="29"/>
      <c r="S656" s="29"/>
      <c r="T656" s="29"/>
      <c r="V656" s="29"/>
      <c r="X656" s="29"/>
      <c r="Y656" s="29"/>
      <c r="Z656" s="29"/>
    </row>
    <row r="657" spans="1:26" ht="15" thickBot="1">
      <c r="A657" s="32" t="s">
        <v>463</v>
      </c>
      <c r="B657" s="29" t="s">
        <v>280</v>
      </c>
      <c r="C657" s="29" t="s">
        <v>249</v>
      </c>
      <c r="D657" s="29" t="s">
        <v>232</v>
      </c>
      <c r="E657" s="29" t="s">
        <v>6</v>
      </c>
      <c r="F657" s="29" t="s">
        <v>250</v>
      </c>
      <c r="G657" s="29" t="s">
        <v>277</v>
      </c>
      <c r="H657" s="32">
        <v>10</v>
      </c>
      <c r="I657" s="32">
        <v>3707.43</v>
      </c>
      <c r="J657" s="32">
        <v>37074.300000000003</v>
      </c>
      <c r="K657" s="29"/>
      <c r="M657" s="29"/>
      <c r="N657" s="29"/>
      <c r="P657" s="29"/>
      <c r="Q657" s="29"/>
      <c r="S657" s="29"/>
      <c r="T657" s="29"/>
      <c r="V657" s="29"/>
      <c r="X657" s="29"/>
      <c r="Y657" s="29"/>
      <c r="Z657" s="29"/>
    </row>
    <row r="658" spans="1:26" ht="15" thickBot="1">
      <c r="A658" s="49">
        <v>45209</v>
      </c>
      <c r="B658" s="29" t="s">
        <v>268</v>
      </c>
      <c r="C658" s="29" t="s">
        <v>244</v>
      </c>
      <c r="D658" s="29" t="s">
        <v>237</v>
      </c>
      <c r="E658" s="29" t="s">
        <v>8</v>
      </c>
      <c r="F658" s="29" t="s">
        <v>259</v>
      </c>
      <c r="G658" s="29" t="s">
        <v>298</v>
      </c>
      <c r="H658" s="32">
        <v>18</v>
      </c>
      <c r="I658" s="32">
        <v>584.4</v>
      </c>
      <c r="J658" s="32">
        <v>10519.2</v>
      </c>
      <c r="K658" s="29"/>
      <c r="M658" s="29"/>
      <c r="N658" s="29"/>
      <c r="P658" s="29"/>
      <c r="Q658" s="29"/>
      <c r="S658" s="29"/>
      <c r="T658" s="29"/>
      <c r="V658" s="29"/>
      <c r="X658" s="29"/>
      <c r="Y658" s="29"/>
      <c r="Z658" s="29"/>
    </row>
    <row r="659" spans="1:26" ht="15" thickBot="1">
      <c r="A659" s="32" t="s">
        <v>447</v>
      </c>
      <c r="B659" s="29" t="s">
        <v>235</v>
      </c>
      <c r="C659" s="29" t="s">
        <v>283</v>
      </c>
      <c r="D659" s="29" t="s">
        <v>242</v>
      </c>
      <c r="E659" s="29" t="s">
        <v>8</v>
      </c>
      <c r="F659" s="29" t="s">
        <v>233</v>
      </c>
      <c r="G659" s="29" t="s">
        <v>301</v>
      </c>
      <c r="H659" s="32">
        <v>1</v>
      </c>
      <c r="I659" s="32">
        <v>2498.7399999999998</v>
      </c>
      <c r="J659" s="32">
        <v>2498.7399999999998</v>
      </c>
      <c r="K659" s="29"/>
      <c r="M659" s="29"/>
      <c r="N659" s="29"/>
      <c r="P659" s="29"/>
      <c r="Q659" s="29"/>
      <c r="S659" s="29"/>
      <c r="T659" s="29"/>
      <c r="V659" s="29"/>
      <c r="X659" s="29"/>
      <c r="Y659" s="29"/>
      <c r="Z659" s="29"/>
    </row>
    <row r="660" spans="1:26" ht="15" thickBot="1">
      <c r="A660" s="49">
        <v>45110</v>
      </c>
      <c r="B660" s="29" t="s">
        <v>254</v>
      </c>
      <c r="C660" s="29" t="s">
        <v>241</v>
      </c>
      <c r="D660" s="29" t="s">
        <v>242</v>
      </c>
      <c r="E660" s="29" t="s">
        <v>8</v>
      </c>
      <c r="F660" s="29" t="s">
        <v>259</v>
      </c>
      <c r="G660" s="29" t="s">
        <v>298</v>
      </c>
      <c r="H660" s="32">
        <v>17</v>
      </c>
      <c r="I660" s="32">
        <v>2460.73</v>
      </c>
      <c r="J660" s="32">
        <v>41832.410000000003</v>
      </c>
      <c r="K660" s="29"/>
      <c r="M660" s="29"/>
      <c r="N660" s="29"/>
      <c r="P660" s="29"/>
      <c r="Q660" s="29"/>
      <c r="S660" s="29"/>
      <c r="T660" s="29"/>
      <c r="V660" s="29"/>
      <c r="X660" s="29"/>
      <c r="Y660" s="29"/>
      <c r="Z660" s="29"/>
    </row>
    <row r="661" spans="1:26" ht="15" thickBot="1">
      <c r="A661" s="49">
        <v>45261</v>
      </c>
      <c r="B661" s="29" t="s">
        <v>271</v>
      </c>
      <c r="C661" s="29" t="s">
        <v>231</v>
      </c>
      <c r="D661" s="29" t="s">
        <v>232</v>
      </c>
      <c r="E661" s="29" t="s">
        <v>6</v>
      </c>
      <c r="F661" s="29" t="s">
        <v>233</v>
      </c>
      <c r="G661" s="29" t="s">
        <v>234</v>
      </c>
      <c r="H661" s="32">
        <v>13</v>
      </c>
      <c r="I661" s="32">
        <v>4630.9799999999996</v>
      </c>
      <c r="J661" s="32">
        <v>60202.74</v>
      </c>
      <c r="K661" s="29"/>
      <c r="M661" s="29"/>
      <c r="N661" s="29"/>
      <c r="P661" s="29"/>
      <c r="Q661" s="29"/>
      <c r="S661" s="29"/>
      <c r="T661" s="29"/>
      <c r="V661" s="29"/>
      <c r="X661" s="29"/>
      <c r="Y661" s="29"/>
      <c r="Z661" s="29"/>
    </row>
    <row r="662" spans="1:26" ht="15" thickBot="1">
      <c r="A662" s="49">
        <v>45241</v>
      </c>
      <c r="B662" s="29" t="s">
        <v>248</v>
      </c>
      <c r="C662" s="29" t="s">
        <v>241</v>
      </c>
      <c r="D662" s="29" t="s">
        <v>242</v>
      </c>
      <c r="E662" s="29" t="s">
        <v>8</v>
      </c>
      <c r="F662" s="29" t="s">
        <v>259</v>
      </c>
      <c r="G662" s="29" t="s">
        <v>299</v>
      </c>
      <c r="H662" s="32">
        <v>3</v>
      </c>
      <c r="I662" s="32">
        <v>4324.88</v>
      </c>
      <c r="J662" s="32">
        <v>12974.64</v>
      </c>
      <c r="K662" s="29"/>
      <c r="M662" s="29"/>
      <c r="N662" s="29"/>
      <c r="P662" s="29"/>
      <c r="Q662" s="29"/>
      <c r="S662" s="29"/>
      <c r="T662" s="29"/>
      <c r="V662" s="29"/>
      <c r="X662" s="29"/>
      <c r="Y662" s="29"/>
      <c r="Z662" s="29"/>
    </row>
    <row r="663" spans="1:26" ht="15" thickBot="1">
      <c r="A663" s="49">
        <v>45270</v>
      </c>
      <c r="B663" s="29" t="s">
        <v>230</v>
      </c>
      <c r="C663" s="29" t="s">
        <v>273</v>
      </c>
      <c r="D663" s="29" t="s">
        <v>252</v>
      </c>
      <c r="E663" s="29" t="s">
        <v>5</v>
      </c>
      <c r="F663" s="29" t="s">
        <v>259</v>
      </c>
      <c r="G663" s="29" t="s">
        <v>299</v>
      </c>
      <c r="H663" s="32">
        <v>20</v>
      </c>
      <c r="I663" s="32">
        <v>4049.4</v>
      </c>
      <c r="J663" s="32">
        <v>80988</v>
      </c>
      <c r="K663" s="29"/>
      <c r="M663" s="29"/>
      <c r="N663" s="29"/>
      <c r="P663" s="29"/>
      <c r="Q663" s="29"/>
      <c r="S663" s="29"/>
      <c r="T663" s="29"/>
      <c r="V663" s="29"/>
      <c r="X663" s="29"/>
      <c r="Y663" s="29"/>
      <c r="Z663" s="29"/>
    </row>
    <row r="664" spans="1:26" ht="15" thickBot="1">
      <c r="A664" s="49">
        <v>45148</v>
      </c>
      <c r="B664" s="29" t="s">
        <v>235</v>
      </c>
      <c r="C664" s="29" t="s">
        <v>316</v>
      </c>
      <c r="D664" s="29" t="s">
        <v>247</v>
      </c>
      <c r="E664" s="29" t="s">
        <v>6</v>
      </c>
      <c r="F664" s="29" t="s">
        <v>250</v>
      </c>
      <c r="G664" s="29" t="s">
        <v>293</v>
      </c>
      <c r="H664" s="32">
        <v>16</v>
      </c>
      <c r="I664" s="32">
        <v>2347.21</v>
      </c>
      <c r="J664" s="32">
        <v>37555.360000000001</v>
      </c>
      <c r="K664" s="29"/>
      <c r="M664" s="29"/>
      <c r="N664" s="29"/>
      <c r="P664" s="29"/>
      <c r="Q664" s="29"/>
      <c r="S664" s="29"/>
      <c r="T664" s="29"/>
      <c r="V664" s="29"/>
      <c r="X664" s="29"/>
      <c r="Y664" s="29"/>
      <c r="Z664" s="29"/>
    </row>
    <row r="665" spans="1:26" ht="15" thickBot="1">
      <c r="A665" s="32" t="s">
        <v>314</v>
      </c>
      <c r="B665" s="29" t="s">
        <v>235</v>
      </c>
      <c r="C665" s="29" t="s">
        <v>274</v>
      </c>
      <c r="D665" s="29" t="s">
        <v>232</v>
      </c>
      <c r="E665" s="29" t="s">
        <v>6</v>
      </c>
      <c r="F665" s="29" t="s">
        <v>245</v>
      </c>
      <c r="G665" s="29" t="s">
        <v>295</v>
      </c>
      <c r="H665" s="32">
        <v>2</v>
      </c>
      <c r="I665" s="32">
        <v>3743.52</v>
      </c>
      <c r="J665" s="32">
        <v>7487.04</v>
      </c>
      <c r="K665" s="29"/>
      <c r="M665" s="29"/>
      <c r="N665" s="29"/>
      <c r="P665" s="29"/>
      <c r="Q665" s="29"/>
      <c r="S665" s="29"/>
      <c r="T665" s="29"/>
      <c r="V665" s="29"/>
      <c r="X665" s="29"/>
      <c r="Y665" s="29"/>
      <c r="Z665" s="29"/>
    </row>
    <row r="666" spans="1:26" ht="15" thickBot="1">
      <c r="A666" s="32" t="s">
        <v>333</v>
      </c>
      <c r="B666" s="29" t="s">
        <v>240</v>
      </c>
      <c r="C666" s="29" t="s">
        <v>258</v>
      </c>
      <c r="D666" s="29" t="s">
        <v>242</v>
      </c>
      <c r="E666" s="29" t="s">
        <v>8</v>
      </c>
      <c r="F666" s="29" t="s">
        <v>250</v>
      </c>
      <c r="G666" s="29" t="s">
        <v>284</v>
      </c>
      <c r="H666" s="32">
        <v>8</v>
      </c>
      <c r="I666" s="32">
        <v>303.48</v>
      </c>
      <c r="J666" s="32">
        <v>2427.84</v>
      </c>
      <c r="K666" s="29"/>
      <c r="M666" s="29"/>
      <c r="N666" s="29"/>
      <c r="P666" s="29"/>
      <c r="Q666" s="29"/>
      <c r="S666" s="29"/>
      <c r="T666" s="29"/>
      <c r="V666" s="29"/>
      <c r="X666" s="29"/>
      <c r="Y666" s="29"/>
      <c r="Z666" s="29"/>
    </row>
    <row r="667" spans="1:26" ht="15" thickBot="1">
      <c r="A667" s="32" t="s">
        <v>445</v>
      </c>
      <c r="B667" s="29" t="s">
        <v>268</v>
      </c>
      <c r="C667" s="29" t="s">
        <v>236</v>
      </c>
      <c r="D667" s="29" t="s">
        <v>237</v>
      </c>
      <c r="E667" s="29" t="s">
        <v>8</v>
      </c>
      <c r="F667" s="29" t="s">
        <v>233</v>
      </c>
      <c r="G667" s="29" t="s">
        <v>287</v>
      </c>
      <c r="H667" s="32">
        <v>7</v>
      </c>
      <c r="I667" s="32">
        <v>1373.41</v>
      </c>
      <c r="J667" s="32">
        <v>9613.8700000000008</v>
      </c>
      <c r="K667" s="29"/>
      <c r="M667" s="29"/>
      <c r="N667" s="29"/>
      <c r="P667" s="29"/>
      <c r="Q667" s="29"/>
      <c r="S667" s="29"/>
      <c r="T667" s="29"/>
      <c r="V667" s="29"/>
      <c r="X667" s="29"/>
      <c r="Y667" s="29"/>
      <c r="Z667" s="29"/>
    </row>
    <row r="668" spans="1:26" ht="15" thickBot="1">
      <c r="A668" s="32" t="s">
        <v>465</v>
      </c>
      <c r="B668" s="29" t="s">
        <v>268</v>
      </c>
      <c r="C668" s="29" t="s">
        <v>281</v>
      </c>
      <c r="D668" s="29" t="s">
        <v>252</v>
      </c>
      <c r="E668" s="29" t="s">
        <v>5</v>
      </c>
      <c r="F668" s="29" t="s">
        <v>259</v>
      </c>
      <c r="G668" s="29" t="s">
        <v>298</v>
      </c>
      <c r="H668" s="32">
        <v>10</v>
      </c>
      <c r="I668" s="32">
        <v>3048.2</v>
      </c>
      <c r="J668" s="32">
        <v>30482</v>
      </c>
      <c r="K668" s="29"/>
      <c r="M668" s="29"/>
      <c r="N668" s="29"/>
      <c r="P668" s="29"/>
      <c r="Q668" s="29"/>
      <c r="S668" s="29"/>
      <c r="T668" s="29"/>
      <c r="V668" s="29"/>
      <c r="X668" s="29"/>
      <c r="Y668" s="29"/>
      <c r="Z668" s="29"/>
    </row>
    <row r="669" spans="1:26" ht="15" thickBot="1">
      <c r="A669" s="32" t="s">
        <v>466</v>
      </c>
      <c r="B669" s="29" t="s">
        <v>271</v>
      </c>
      <c r="C669" s="29" t="s">
        <v>261</v>
      </c>
      <c r="D669" s="29" t="s">
        <v>247</v>
      </c>
      <c r="E669" s="29" t="s">
        <v>6</v>
      </c>
      <c r="F669" s="29" t="s">
        <v>233</v>
      </c>
      <c r="G669" s="29" t="s">
        <v>287</v>
      </c>
      <c r="H669" s="32">
        <v>20</v>
      </c>
      <c r="I669" s="32">
        <v>2818.78</v>
      </c>
      <c r="J669" s="32">
        <v>56375.6</v>
      </c>
      <c r="K669" s="29"/>
      <c r="M669" s="29"/>
      <c r="N669" s="29"/>
      <c r="P669" s="29"/>
      <c r="Q669" s="29"/>
      <c r="S669" s="29"/>
      <c r="T669" s="29"/>
      <c r="V669" s="29"/>
      <c r="X669" s="29"/>
      <c r="Y669" s="29"/>
      <c r="Z669" s="29"/>
    </row>
    <row r="670" spans="1:26" ht="15" thickBot="1">
      <c r="A670" s="49">
        <v>45027</v>
      </c>
      <c r="B670" s="29" t="s">
        <v>235</v>
      </c>
      <c r="C670" s="29" t="s">
        <v>274</v>
      </c>
      <c r="D670" s="29" t="s">
        <v>232</v>
      </c>
      <c r="E670" s="29" t="s">
        <v>6</v>
      </c>
      <c r="F670" s="29" t="s">
        <v>245</v>
      </c>
      <c r="G670" s="29" t="s">
        <v>295</v>
      </c>
      <c r="H670" s="32">
        <v>1</v>
      </c>
      <c r="I670" s="32">
        <v>4647.3</v>
      </c>
      <c r="J670" s="32">
        <v>4647.3</v>
      </c>
      <c r="K670" s="29"/>
      <c r="M670" s="29"/>
      <c r="N670" s="29"/>
      <c r="P670" s="29"/>
      <c r="Q670" s="29"/>
      <c r="S670" s="29"/>
      <c r="T670" s="29"/>
      <c r="V670" s="29"/>
      <c r="X670" s="29"/>
      <c r="Y670" s="29"/>
      <c r="Z670" s="29"/>
    </row>
    <row r="671" spans="1:26" ht="15" thickBot="1">
      <c r="A671" s="49">
        <v>45109</v>
      </c>
      <c r="B671" s="29" t="s">
        <v>240</v>
      </c>
      <c r="C671" s="29" t="s">
        <v>276</v>
      </c>
      <c r="D671" s="29" t="s">
        <v>247</v>
      </c>
      <c r="E671" s="29" t="s">
        <v>6</v>
      </c>
      <c r="F671" s="29" t="s">
        <v>245</v>
      </c>
      <c r="G671" s="29" t="s">
        <v>246</v>
      </c>
      <c r="H671" s="32">
        <v>20</v>
      </c>
      <c r="I671" s="32">
        <v>2302.4699999999998</v>
      </c>
      <c r="J671" s="32">
        <v>46049.4</v>
      </c>
      <c r="K671" s="29"/>
      <c r="M671" s="29"/>
      <c r="N671" s="29"/>
      <c r="P671" s="29"/>
      <c r="Q671" s="29"/>
      <c r="S671" s="29"/>
      <c r="T671" s="29"/>
      <c r="V671" s="29"/>
      <c r="X671" s="29"/>
      <c r="Y671" s="29"/>
      <c r="Z671" s="29"/>
    </row>
    <row r="672" spans="1:26" ht="15" thickBot="1">
      <c r="A672" s="32" t="s">
        <v>356</v>
      </c>
      <c r="B672" s="29" t="s">
        <v>280</v>
      </c>
      <c r="C672" s="29" t="s">
        <v>281</v>
      </c>
      <c r="D672" s="29" t="s">
        <v>252</v>
      </c>
      <c r="E672" s="29" t="s">
        <v>5</v>
      </c>
      <c r="F672" s="29" t="s">
        <v>233</v>
      </c>
      <c r="G672" s="29" t="s">
        <v>287</v>
      </c>
      <c r="H672" s="32">
        <v>17</v>
      </c>
      <c r="I672" s="32">
        <v>2805.45</v>
      </c>
      <c r="J672" s="32">
        <v>47692.65</v>
      </c>
      <c r="K672" s="29"/>
      <c r="M672" s="29"/>
      <c r="N672" s="29"/>
      <c r="P672" s="29"/>
      <c r="Q672" s="29"/>
      <c r="S672" s="29"/>
      <c r="T672" s="29"/>
      <c r="V672" s="29"/>
      <c r="X672" s="29"/>
      <c r="Y672" s="29"/>
      <c r="Z672" s="29"/>
    </row>
    <row r="673" spans="1:26" ht="15" thickBot="1">
      <c r="A673" s="32" t="s">
        <v>467</v>
      </c>
      <c r="B673" s="29" t="s">
        <v>280</v>
      </c>
      <c r="C673" s="29" t="s">
        <v>236</v>
      </c>
      <c r="D673" s="29" t="s">
        <v>237</v>
      </c>
      <c r="E673" s="29" t="s">
        <v>8</v>
      </c>
      <c r="F673" s="29" t="s">
        <v>259</v>
      </c>
      <c r="G673" s="29" t="s">
        <v>182</v>
      </c>
      <c r="H673" s="32">
        <v>3</v>
      </c>
      <c r="I673" s="32">
        <v>413.26</v>
      </c>
      <c r="J673" s="32">
        <v>1239.78</v>
      </c>
      <c r="K673" s="29"/>
      <c r="M673" s="29"/>
      <c r="N673" s="29"/>
      <c r="P673" s="29"/>
      <c r="Q673" s="29"/>
      <c r="S673" s="29"/>
      <c r="T673" s="29"/>
      <c r="V673" s="29"/>
      <c r="X673" s="29"/>
      <c r="Y673" s="29"/>
      <c r="Z673" s="29"/>
    </row>
    <row r="674" spans="1:26" ht="15" thickBot="1">
      <c r="A674" s="32" t="s">
        <v>460</v>
      </c>
      <c r="B674" s="29" t="s">
        <v>254</v>
      </c>
      <c r="C674" s="29" t="s">
        <v>276</v>
      </c>
      <c r="D674" s="29" t="s">
        <v>247</v>
      </c>
      <c r="E674" s="29" t="s">
        <v>6</v>
      </c>
      <c r="F674" s="29" t="s">
        <v>245</v>
      </c>
      <c r="G674" s="29" t="s">
        <v>266</v>
      </c>
      <c r="H674" s="32">
        <v>17</v>
      </c>
      <c r="I674" s="32">
        <v>3203.04</v>
      </c>
      <c r="J674" s="32">
        <v>54451.68</v>
      </c>
      <c r="K674" s="29"/>
      <c r="M674" s="29"/>
      <c r="N674" s="29"/>
      <c r="P674" s="29"/>
      <c r="Q674" s="29"/>
      <c r="S674" s="29"/>
      <c r="T674" s="29"/>
      <c r="V674" s="29"/>
      <c r="X674" s="29"/>
      <c r="Y674" s="29"/>
      <c r="Z674" s="29"/>
    </row>
    <row r="675" spans="1:26" ht="15" thickBot="1">
      <c r="A675" s="32" t="s">
        <v>467</v>
      </c>
      <c r="B675" s="29" t="s">
        <v>257</v>
      </c>
      <c r="C675" s="29" t="s">
        <v>261</v>
      </c>
      <c r="D675" s="29" t="s">
        <v>247</v>
      </c>
      <c r="E675" s="29" t="s">
        <v>6</v>
      </c>
      <c r="F675" s="29" t="s">
        <v>245</v>
      </c>
      <c r="G675" s="29" t="s">
        <v>246</v>
      </c>
      <c r="H675" s="32">
        <v>4</v>
      </c>
      <c r="I675" s="32">
        <v>1906.89</v>
      </c>
      <c r="J675" s="32">
        <v>7627.56</v>
      </c>
      <c r="K675" s="29"/>
      <c r="M675" s="29"/>
      <c r="N675" s="29"/>
      <c r="P675" s="29"/>
      <c r="Q675" s="29"/>
      <c r="S675" s="29"/>
      <c r="T675" s="29"/>
      <c r="V675" s="29"/>
      <c r="X675" s="29"/>
      <c r="Y675" s="29"/>
      <c r="Z675" s="29"/>
    </row>
    <row r="676" spans="1:26" ht="15" thickBot="1">
      <c r="A676" s="32" t="s">
        <v>322</v>
      </c>
      <c r="B676" s="29" t="s">
        <v>271</v>
      </c>
      <c r="C676" s="29" t="s">
        <v>273</v>
      </c>
      <c r="D676" s="29" t="s">
        <v>252</v>
      </c>
      <c r="E676" s="29" t="s">
        <v>5</v>
      </c>
      <c r="F676" s="29" t="s">
        <v>250</v>
      </c>
      <c r="G676" s="29" t="s">
        <v>293</v>
      </c>
      <c r="H676" s="32">
        <v>14</v>
      </c>
      <c r="I676" s="32">
        <v>3829.68</v>
      </c>
      <c r="J676" s="32">
        <v>53615.519999999997</v>
      </c>
      <c r="K676" s="29"/>
      <c r="M676" s="29"/>
      <c r="N676" s="29"/>
      <c r="P676" s="29"/>
      <c r="Q676" s="29"/>
      <c r="S676" s="29"/>
      <c r="T676" s="29"/>
      <c r="V676" s="29"/>
      <c r="X676" s="29"/>
      <c r="Y676" s="29"/>
      <c r="Z676" s="29"/>
    </row>
    <row r="677" spans="1:26" ht="15" thickBot="1">
      <c r="A677" s="32" t="s">
        <v>468</v>
      </c>
      <c r="B677" s="29" t="s">
        <v>235</v>
      </c>
      <c r="C677" s="29" t="s">
        <v>255</v>
      </c>
      <c r="D677" s="29" t="s">
        <v>237</v>
      </c>
      <c r="E677" s="29" t="s">
        <v>8</v>
      </c>
      <c r="F677" s="29" t="s">
        <v>238</v>
      </c>
      <c r="G677" s="29" t="s">
        <v>239</v>
      </c>
      <c r="H677" s="32">
        <v>19</v>
      </c>
      <c r="I677" s="32">
        <v>2636.08</v>
      </c>
      <c r="J677" s="32">
        <v>50085.52</v>
      </c>
      <c r="K677" s="29"/>
      <c r="M677" s="29"/>
      <c r="N677" s="29"/>
      <c r="P677" s="29"/>
      <c r="Q677" s="29"/>
      <c r="S677" s="29"/>
      <c r="T677" s="29"/>
      <c r="V677" s="29"/>
      <c r="X677" s="29"/>
      <c r="Y677" s="29"/>
      <c r="Z677" s="29"/>
    </row>
    <row r="678" spans="1:26" ht="15" thickBot="1">
      <c r="A678" s="49">
        <v>45238</v>
      </c>
      <c r="B678" s="29" t="s">
        <v>230</v>
      </c>
      <c r="C678" s="29" t="s">
        <v>236</v>
      </c>
      <c r="D678" s="29" t="s">
        <v>237</v>
      </c>
      <c r="E678" s="29" t="s">
        <v>8</v>
      </c>
      <c r="F678" s="29" t="s">
        <v>259</v>
      </c>
      <c r="G678" s="29" t="s">
        <v>179</v>
      </c>
      <c r="H678" s="32">
        <v>13</v>
      </c>
      <c r="I678" s="32">
        <v>3994.86</v>
      </c>
      <c r="J678" s="32">
        <v>51933.18</v>
      </c>
      <c r="K678" s="29"/>
      <c r="M678" s="29"/>
      <c r="N678" s="29"/>
      <c r="P678" s="29"/>
      <c r="Q678" s="29"/>
      <c r="S678" s="29"/>
      <c r="T678" s="29"/>
      <c r="V678" s="29"/>
      <c r="X678" s="29"/>
      <c r="Y678" s="29"/>
      <c r="Z678" s="29"/>
    </row>
    <row r="679" spans="1:26" ht="15" thickBot="1">
      <c r="A679" s="32" t="s">
        <v>229</v>
      </c>
      <c r="B679" s="29" t="s">
        <v>254</v>
      </c>
      <c r="C679" s="29" t="s">
        <v>261</v>
      </c>
      <c r="D679" s="29" t="s">
        <v>247</v>
      </c>
      <c r="E679" s="29" t="s">
        <v>6</v>
      </c>
      <c r="F679" s="29" t="s">
        <v>238</v>
      </c>
      <c r="G679" s="29" t="s">
        <v>256</v>
      </c>
      <c r="H679" s="32">
        <v>12</v>
      </c>
      <c r="I679" s="32">
        <v>1554.75</v>
      </c>
      <c r="J679" s="32">
        <v>18657</v>
      </c>
      <c r="K679" s="29"/>
      <c r="M679" s="29"/>
      <c r="N679" s="29"/>
      <c r="P679" s="29"/>
      <c r="Q679" s="29"/>
      <c r="S679" s="29"/>
      <c r="T679" s="29"/>
      <c r="V679" s="29"/>
      <c r="X679" s="29"/>
      <c r="Y679" s="29"/>
      <c r="Z679" s="29"/>
    </row>
    <row r="680" spans="1:26" ht="15" thickBot="1">
      <c r="A680" s="49">
        <v>45108</v>
      </c>
      <c r="B680" s="29" t="s">
        <v>257</v>
      </c>
      <c r="C680" s="29" t="s">
        <v>258</v>
      </c>
      <c r="D680" s="29" t="s">
        <v>242</v>
      </c>
      <c r="E680" s="29" t="s">
        <v>8</v>
      </c>
      <c r="F680" s="29" t="s">
        <v>238</v>
      </c>
      <c r="G680" s="29" t="s">
        <v>303</v>
      </c>
      <c r="H680" s="32">
        <v>9</v>
      </c>
      <c r="I680" s="32">
        <v>4674.04</v>
      </c>
      <c r="J680" s="32">
        <v>42066.36</v>
      </c>
      <c r="K680" s="29"/>
      <c r="M680" s="29"/>
      <c r="N680" s="29"/>
      <c r="P680" s="29"/>
      <c r="Q680" s="29"/>
      <c r="S680" s="29"/>
      <c r="T680" s="29"/>
      <c r="V680" s="29"/>
      <c r="X680" s="29"/>
      <c r="Y680" s="29"/>
      <c r="Z680" s="29"/>
    </row>
    <row r="681" spans="1:26" ht="15" thickBot="1">
      <c r="A681" s="49">
        <v>45018</v>
      </c>
      <c r="B681" s="29" t="s">
        <v>257</v>
      </c>
      <c r="C681" s="29" t="s">
        <v>316</v>
      </c>
      <c r="D681" s="29" t="s">
        <v>247</v>
      </c>
      <c r="E681" s="29" t="s">
        <v>6</v>
      </c>
      <c r="F681" s="29" t="s">
        <v>233</v>
      </c>
      <c r="G681" s="29" t="s">
        <v>234</v>
      </c>
      <c r="H681" s="32">
        <v>2</v>
      </c>
      <c r="I681" s="32">
        <v>1252.3</v>
      </c>
      <c r="J681" s="32">
        <v>2504.6</v>
      </c>
      <c r="K681" s="29"/>
      <c r="M681" s="29"/>
      <c r="N681" s="29"/>
      <c r="P681" s="29"/>
      <c r="Q681" s="29"/>
      <c r="S681" s="29"/>
      <c r="T681" s="29"/>
      <c r="V681" s="29"/>
      <c r="X681" s="29"/>
      <c r="Y681" s="29"/>
      <c r="Z681" s="29"/>
    </row>
    <row r="682" spans="1:26" ht="15" thickBot="1">
      <c r="A682" s="32" t="s">
        <v>469</v>
      </c>
      <c r="B682" s="29" t="s">
        <v>248</v>
      </c>
      <c r="C682" s="29" t="s">
        <v>283</v>
      </c>
      <c r="D682" s="29" t="s">
        <v>242</v>
      </c>
      <c r="E682" s="29" t="s">
        <v>8</v>
      </c>
      <c r="F682" s="29" t="s">
        <v>238</v>
      </c>
      <c r="G682" s="29" t="s">
        <v>256</v>
      </c>
      <c r="H682" s="32">
        <v>15</v>
      </c>
      <c r="I682" s="32">
        <v>1738.86</v>
      </c>
      <c r="J682" s="32">
        <v>26082.9</v>
      </c>
      <c r="K682" s="29"/>
      <c r="M682" s="29"/>
      <c r="N682" s="29"/>
      <c r="P682" s="29"/>
      <c r="Q682" s="29"/>
      <c r="S682" s="29"/>
      <c r="T682" s="29"/>
      <c r="V682" s="29"/>
      <c r="X682" s="29"/>
      <c r="Y682" s="29"/>
      <c r="Z682" s="29"/>
    </row>
    <row r="683" spans="1:26" ht="15" thickBot="1">
      <c r="A683" s="32" t="s">
        <v>325</v>
      </c>
      <c r="B683" s="29" t="s">
        <v>235</v>
      </c>
      <c r="C683" s="29" t="s">
        <v>276</v>
      </c>
      <c r="D683" s="29" t="s">
        <v>247</v>
      </c>
      <c r="E683" s="29" t="s">
        <v>6</v>
      </c>
      <c r="F683" s="29" t="s">
        <v>245</v>
      </c>
      <c r="G683" s="29" t="s">
        <v>266</v>
      </c>
      <c r="H683" s="32">
        <v>4</v>
      </c>
      <c r="I683" s="32">
        <v>2527.15</v>
      </c>
      <c r="J683" s="32">
        <v>10108.6</v>
      </c>
      <c r="K683" s="29"/>
      <c r="M683" s="29"/>
      <c r="N683" s="29"/>
      <c r="P683" s="29"/>
      <c r="Q683" s="29"/>
      <c r="S683" s="29"/>
      <c r="T683" s="29"/>
      <c r="V683" s="29"/>
      <c r="X683" s="29"/>
      <c r="Y683" s="29"/>
      <c r="Z683" s="29"/>
    </row>
    <row r="684" spans="1:26" ht="15" thickBot="1">
      <c r="A684" s="49">
        <v>44928</v>
      </c>
      <c r="B684" s="29" t="s">
        <v>248</v>
      </c>
      <c r="C684" s="29" t="s">
        <v>261</v>
      </c>
      <c r="D684" s="29" t="s">
        <v>247</v>
      </c>
      <c r="E684" s="29" t="s">
        <v>6</v>
      </c>
      <c r="F684" s="29" t="s">
        <v>245</v>
      </c>
      <c r="G684" s="29" t="s">
        <v>246</v>
      </c>
      <c r="H684" s="32">
        <v>17</v>
      </c>
      <c r="I684" s="32">
        <v>4247.5600000000004</v>
      </c>
      <c r="J684" s="32">
        <v>72208.52</v>
      </c>
      <c r="K684" s="29"/>
      <c r="M684" s="29"/>
      <c r="N684" s="29"/>
      <c r="P684" s="29"/>
      <c r="Q684" s="29"/>
      <c r="S684" s="29"/>
      <c r="T684" s="29"/>
      <c r="V684" s="29"/>
      <c r="X684" s="29"/>
      <c r="Y684" s="29"/>
      <c r="Z684" s="29"/>
    </row>
    <row r="685" spans="1:26" ht="15" thickBot="1">
      <c r="A685" s="32" t="s">
        <v>377</v>
      </c>
      <c r="B685" s="29" t="s">
        <v>271</v>
      </c>
      <c r="C685" s="29" t="s">
        <v>255</v>
      </c>
      <c r="D685" s="29" t="s">
        <v>237</v>
      </c>
      <c r="E685" s="29" t="s">
        <v>8</v>
      </c>
      <c r="F685" s="29" t="s">
        <v>250</v>
      </c>
      <c r="G685" s="29" t="s">
        <v>251</v>
      </c>
      <c r="H685" s="32">
        <v>8</v>
      </c>
      <c r="I685" s="32">
        <v>978.4</v>
      </c>
      <c r="J685" s="32">
        <v>7827.2</v>
      </c>
      <c r="K685" s="29"/>
      <c r="M685" s="29"/>
      <c r="N685" s="29"/>
      <c r="P685" s="29"/>
      <c r="Q685" s="29"/>
      <c r="S685" s="29"/>
      <c r="T685" s="29"/>
      <c r="V685" s="29"/>
      <c r="X685" s="29"/>
      <c r="Y685" s="29"/>
      <c r="Z685" s="29"/>
    </row>
    <row r="686" spans="1:26" ht="15" thickBot="1">
      <c r="A686" s="49">
        <v>44993</v>
      </c>
      <c r="B686" s="29" t="s">
        <v>271</v>
      </c>
      <c r="C686" s="29" t="s">
        <v>316</v>
      </c>
      <c r="D686" s="29" t="s">
        <v>247</v>
      </c>
      <c r="E686" s="29" t="s">
        <v>6</v>
      </c>
      <c r="F686" s="29" t="s">
        <v>233</v>
      </c>
      <c r="G686" s="29" t="s">
        <v>301</v>
      </c>
      <c r="H686" s="32">
        <v>5</v>
      </c>
      <c r="I686" s="32">
        <v>1530.16</v>
      </c>
      <c r="J686" s="32">
        <v>7650.8</v>
      </c>
      <c r="K686" s="29"/>
      <c r="M686" s="29"/>
      <c r="N686" s="29"/>
      <c r="P686" s="29"/>
      <c r="Q686" s="29"/>
      <c r="S686" s="29"/>
      <c r="T686" s="29"/>
      <c r="V686" s="29"/>
      <c r="X686" s="29"/>
      <c r="Y686" s="29"/>
      <c r="Z686" s="29"/>
    </row>
    <row r="687" spans="1:26" ht="15" thickBot="1">
      <c r="A687" s="49">
        <v>45048</v>
      </c>
      <c r="B687" s="29" t="s">
        <v>280</v>
      </c>
      <c r="C687" s="29" t="s">
        <v>236</v>
      </c>
      <c r="D687" s="29" t="s">
        <v>237</v>
      </c>
      <c r="E687" s="29" t="s">
        <v>8</v>
      </c>
      <c r="F687" s="29" t="s">
        <v>233</v>
      </c>
      <c r="G687" s="29" t="s">
        <v>301</v>
      </c>
      <c r="H687" s="32">
        <v>15</v>
      </c>
      <c r="I687" s="32">
        <v>4748.62</v>
      </c>
      <c r="J687" s="32">
        <v>71229.3</v>
      </c>
      <c r="K687" s="29"/>
      <c r="M687" s="29"/>
      <c r="N687" s="29"/>
      <c r="P687" s="29"/>
      <c r="Q687" s="29"/>
      <c r="S687" s="29"/>
      <c r="T687" s="29"/>
      <c r="V687" s="29"/>
      <c r="X687" s="29"/>
      <c r="Y687" s="29"/>
      <c r="Z687" s="29"/>
    </row>
    <row r="688" spans="1:26" ht="15" thickBot="1">
      <c r="A688" s="32" t="s">
        <v>457</v>
      </c>
      <c r="B688" s="29" t="s">
        <v>271</v>
      </c>
      <c r="C688" s="29" t="s">
        <v>241</v>
      </c>
      <c r="D688" s="29" t="s">
        <v>242</v>
      </c>
      <c r="E688" s="29" t="s">
        <v>8</v>
      </c>
      <c r="F688" s="29" t="s">
        <v>233</v>
      </c>
      <c r="G688" s="29" t="s">
        <v>234</v>
      </c>
      <c r="H688" s="32">
        <v>5</v>
      </c>
      <c r="I688" s="32">
        <v>4402.72</v>
      </c>
      <c r="J688" s="32">
        <v>22013.599999999999</v>
      </c>
      <c r="K688" s="29"/>
      <c r="M688" s="29"/>
      <c r="N688" s="29"/>
      <c r="P688" s="29"/>
      <c r="Q688" s="29"/>
      <c r="S688" s="29"/>
      <c r="T688" s="29"/>
      <c r="V688" s="29"/>
      <c r="X688" s="29"/>
      <c r="Y688" s="29"/>
      <c r="Z688" s="29"/>
    </row>
    <row r="689" spans="1:26" ht="15" thickBot="1">
      <c r="A689" s="49">
        <v>45206</v>
      </c>
      <c r="B689" s="29" t="s">
        <v>230</v>
      </c>
      <c r="C689" s="29" t="s">
        <v>249</v>
      </c>
      <c r="D689" s="29" t="s">
        <v>232</v>
      </c>
      <c r="E689" s="29" t="s">
        <v>6</v>
      </c>
      <c r="F689" s="29" t="s">
        <v>245</v>
      </c>
      <c r="G689" s="29" t="s">
        <v>246</v>
      </c>
      <c r="H689" s="32">
        <v>16</v>
      </c>
      <c r="I689" s="32">
        <v>3858.12</v>
      </c>
      <c r="J689" s="32">
        <v>61729.919999999998</v>
      </c>
      <c r="K689" s="29"/>
      <c r="M689" s="29"/>
      <c r="N689" s="29"/>
      <c r="P689" s="29"/>
      <c r="Q689" s="29"/>
      <c r="S689" s="29"/>
      <c r="T689" s="29"/>
      <c r="V689" s="29"/>
      <c r="X689" s="29"/>
      <c r="Y689" s="29"/>
      <c r="Z689" s="29"/>
    </row>
    <row r="690" spans="1:26" ht="15" thickBot="1">
      <c r="A690" s="32" t="s">
        <v>345</v>
      </c>
      <c r="B690" s="29" t="s">
        <v>240</v>
      </c>
      <c r="C690" s="29" t="s">
        <v>316</v>
      </c>
      <c r="D690" s="29" t="s">
        <v>247</v>
      </c>
      <c r="E690" s="29" t="s">
        <v>6</v>
      </c>
      <c r="F690" s="29" t="s">
        <v>250</v>
      </c>
      <c r="G690" s="29" t="s">
        <v>277</v>
      </c>
      <c r="H690" s="32">
        <v>10</v>
      </c>
      <c r="I690" s="32">
        <v>4939.99</v>
      </c>
      <c r="J690" s="32">
        <v>49399.9</v>
      </c>
      <c r="K690" s="29"/>
      <c r="M690" s="29"/>
      <c r="N690" s="29"/>
      <c r="P690" s="29"/>
      <c r="Q690" s="29"/>
      <c r="S690" s="29"/>
      <c r="T690" s="29"/>
      <c r="V690" s="29"/>
      <c r="X690" s="29"/>
      <c r="Y690" s="29"/>
      <c r="Z690" s="29"/>
    </row>
    <row r="691" spans="1:26" ht="15" thickBot="1">
      <c r="A691" s="32" t="s">
        <v>289</v>
      </c>
      <c r="B691" s="29" t="s">
        <v>230</v>
      </c>
      <c r="C691" s="29" t="s">
        <v>236</v>
      </c>
      <c r="D691" s="29" t="s">
        <v>237</v>
      </c>
      <c r="E691" s="29" t="s">
        <v>8</v>
      </c>
      <c r="F691" s="29" t="s">
        <v>233</v>
      </c>
      <c r="G691" s="29" t="s">
        <v>304</v>
      </c>
      <c r="H691" s="32">
        <v>8</v>
      </c>
      <c r="I691" s="32">
        <v>2394.87</v>
      </c>
      <c r="J691" s="32">
        <v>19158.96</v>
      </c>
      <c r="K691" s="29"/>
      <c r="M691" s="29"/>
      <c r="N691" s="29"/>
      <c r="P691" s="29"/>
      <c r="Q691" s="29"/>
      <c r="S691" s="29"/>
      <c r="T691" s="29"/>
      <c r="V691" s="29"/>
      <c r="X691" s="29"/>
      <c r="Y691" s="29"/>
      <c r="Z691" s="29"/>
    </row>
    <row r="692" spans="1:26" ht="15" thickBot="1">
      <c r="A692" s="32" t="s">
        <v>389</v>
      </c>
      <c r="B692" s="29" t="s">
        <v>235</v>
      </c>
      <c r="C692" s="29" t="s">
        <v>316</v>
      </c>
      <c r="D692" s="29" t="s">
        <v>247</v>
      </c>
      <c r="E692" s="29" t="s">
        <v>6</v>
      </c>
      <c r="F692" s="29" t="s">
        <v>245</v>
      </c>
      <c r="G692" s="29" t="s">
        <v>295</v>
      </c>
      <c r="H692" s="32">
        <v>11</v>
      </c>
      <c r="I692" s="32">
        <v>3277.74</v>
      </c>
      <c r="J692" s="32">
        <v>36055.14</v>
      </c>
      <c r="K692" s="29"/>
      <c r="M692" s="29"/>
      <c r="N692" s="29"/>
      <c r="P692" s="29"/>
      <c r="Q692" s="29"/>
      <c r="S692" s="29"/>
      <c r="T692" s="29"/>
      <c r="V692" s="29"/>
      <c r="X692" s="29"/>
      <c r="Y692" s="29"/>
      <c r="Z692" s="29"/>
    </row>
    <row r="693" spans="1:26" ht="15" thickBot="1">
      <c r="A693" s="32" t="s">
        <v>341</v>
      </c>
      <c r="B693" s="29" t="s">
        <v>254</v>
      </c>
      <c r="C693" s="29" t="s">
        <v>241</v>
      </c>
      <c r="D693" s="29" t="s">
        <v>242</v>
      </c>
      <c r="E693" s="29" t="s">
        <v>8</v>
      </c>
      <c r="F693" s="29" t="s">
        <v>233</v>
      </c>
      <c r="G693" s="29" t="s">
        <v>304</v>
      </c>
      <c r="H693" s="32">
        <v>5</v>
      </c>
      <c r="I693" s="32">
        <v>2411.33</v>
      </c>
      <c r="J693" s="32">
        <v>12056.65</v>
      </c>
      <c r="K693" s="29"/>
      <c r="M693" s="29"/>
      <c r="N693" s="29"/>
      <c r="P693" s="29"/>
      <c r="Q693" s="29"/>
      <c r="S693" s="29"/>
      <c r="T693" s="29"/>
      <c r="V693" s="29"/>
      <c r="X693" s="29"/>
      <c r="Y693" s="29"/>
      <c r="Z693" s="29"/>
    </row>
    <row r="694" spans="1:26" ht="15" thickBot="1">
      <c r="A694" s="32" t="s">
        <v>305</v>
      </c>
      <c r="B694" s="29" t="s">
        <v>240</v>
      </c>
      <c r="C694" s="29" t="s">
        <v>261</v>
      </c>
      <c r="D694" s="29" t="s">
        <v>247</v>
      </c>
      <c r="E694" s="29" t="s">
        <v>6</v>
      </c>
      <c r="F694" s="29" t="s">
        <v>238</v>
      </c>
      <c r="G694" s="29" t="s">
        <v>296</v>
      </c>
      <c r="H694" s="32">
        <v>17</v>
      </c>
      <c r="I694" s="32">
        <v>3844.7</v>
      </c>
      <c r="J694" s="32">
        <v>65359.9</v>
      </c>
      <c r="K694" s="29"/>
      <c r="M694" s="29"/>
      <c r="N694" s="29"/>
      <c r="P694" s="29"/>
      <c r="Q694" s="29"/>
      <c r="S694" s="29"/>
      <c r="T694" s="29"/>
      <c r="V694" s="29"/>
      <c r="X694" s="29"/>
      <c r="Y694" s="29"/>
      <c r="Z694" s="29"/>
    </row>
    <row r="695" spans="1:26" ht="15" thickBot="1">
      <c r="A695" s="32" t="s">
        <v>371</v>
      </c>
      <c r="B695" s="29" t="s">
        <v>271</v>
      </c>
      <c r="C695" s="29" t="s">
        <v>236</v>
      </c>
      <c r="D695" s="29" t="s">
        <v>237</v>
      </c>
      <c r="E695" s="29" t="s">
        <v>8</v>
      </c>
      <c r="F695" s="29" t="s">
        <v>245</v>
      </c>
      <c r="G695" s="29" t="s">
        <v>269</v>
      </c>
      <c r="H695" s="32">
        <v>14</v>
      </c>
      <c r="I695" s="32">
        <v>816.99</v>
      </c>
      <c r="J695" s="32">
        <v>11437.86</v>
      </c>
      <c r="K695" s="29"/>
      <c r="M695" s="29"/>
      <c r="N695" s="29"/>
      <c r="P695" s="29"/>
      <c r="Q695" s="29"/>
      <c r="S695" s="29"/>
      <c r="T695" s="29"/>
      <c r="V695" s="29"/>
      <c r="X695" s="29"/>
      <c r="Y695" s="29"/>
      <c r="Z695" s="29"/>
    </row>
    <row r="696" spans="1:26" ht="15" thickBot="1">
      <c r="A696" s="32" t="s">
        <v>448</v>
      </c>
      <c r="B696" s="29" t="s">
        <v>260</v>
      </c>
      <c r="C696" s="29" t="s">
        <v>255</v>
      </c>
      <c r="D696" s="29" t="s">
        <v>237</v>
      </c>
      <c r="E696" s="29" t="s">
        <v>8</v>
      </c>
      <c r="F696" s="29" t="s">
        <v>259</v>
      </c>
      <c r="G696" s="29" t="s">
        <v>299</v>
      </c>
      <c r="H696" s="32">
        <v>3</v>
      </c>
      <c r="I696" s="32">
        <v>3102.92</v>
      </c>
      <c r="J696" s="32">
        <v>9308.76</v>
      </c>
      <c r="K696" s="29"/>
      <c r="M696" s="29"/>
      <c r="N696" s="29"/>
      <c r="P696" s="29"/>
      <c r="Q696" s="29"/>
      <c r="S696" s="29"/>
      <c r="T696" s="29"/>
      <c r="V696" s="29"/>
      <c r="X696" s="29"/>
      <c r="Y696" s="29"/>
      <c r="Z696" s="29"/>
    </row>
    <row r="697" spans="1:26" ht="15" thickBot="1">
      <c r="A697" s="32" t="s">
        <v>382</v>
      </c>
      <c r="B697" s="29" t="s">
        <v>248</v>
      </c>
      <c r="C697" s="29" t="s">
        <v>261</v>
      </c>
      <c r="D697" s="29" t="s">
        <v>247</v>
      </c>
      <c r="E697" s="29" t="s">
        <v>6</v>
      </c>
      <c r="F697" s="29" t="s">
        <v>259</v>
      </c>
      <c r="G697" s="29" t="s">
        <v>182</v>
      </c>
      <c r="H697" s="32">
        <v>11</v>
      </c>
      <c r="I697" s="32">
        <v>490.34</v>
      </c>
      <c r="J697" s="32">
        <v>5393.74</v>
      </c>
      <c r="K697" s="29"/>
      <c r="M697" s="29"/>
      <c r="N697" s="29"/>
      <c r="P697" s="29"/>
      <c r="Q697" s="29"/>
      <c r="S697" s="29"/>
      <c r="T697" s="29"/>
      <c r="V697" s="29"/>
      <c r="X697" s="29"/>
      <c r="Y697" s="29"/>
      <c r="Z697" s="29"/>
    </row>
    <row r="698" spans="1:26" ht="15" thickBot="1">
      <c r="A698" s="32" t="s">
        <v>411</v>
      </c>
      <c r="B698" s="29" t="s">
        <v>257</v>
      </c>
      <c r="C698" s="29" t="s">
        <v>274</v>
      </c>
      <c r="D698" s="29" t="s">
        <v>232</v>
      </c>
      <c r="E698" s="29" t="s">
        <v>6</v>
      </c>
      <c r="F698" s="29" t="s">
        <v>245</v>
      </c>
      <c r="G698" s="29" t="s">
        <v>269</v>
      </c>
      <c r="H698" s="32">
        <v>6</v>
      </c>
      <c r="I698" s="32">
        <v>4079.26</v>
      </c>
      <c r="J698" s="32">
        <v>24475.56</v>
      </c>
      <c r="K698" s="29"/>
      <c r="M698" s="29"/>
      <c r="N698" s="29"/>
      <c r="P698" s="29"/>
      <c r="Q698" s="29"/>
      <c r="S698" s="29"/>
      <c r="T698" s="29"/>
      <c r="V698" s="29"/>
      <c r="X698" s="29"/>
      <c r="Y698" s="29"/>
      <c r="Z698" s="29"/>
    </row>
    <row r="699" spans="1:26" ht="15" thickBot="1">
      <c r="A699" s="49">
        <v>44988</v>
      </c>
      <c r="B699" s="29" t="s">
        <v>230</v>
      </c>
      <c r="C699" s="29" t="s">
        <v>313</v>
      </c>
      <c r="D699" s="29" t="s">
        <v>252</v>
      </c>
      <c r="E699" s="29" t="s">
        <v>5</v>
      </c>
      <c r="F699" s="29" t="s">
        <v>233</v>
      </c>
      <c r="G699" s="29" t="s">
        <v>304</v>
      </c>
      <c r="H699" s="32">
        <v>12</v>
      </c>
      <c r="I699" s="32">
        <v>3229.61</v>
      </c>
      <c r="J699" s="32">
        <v>38755.32</v>
      </c>
      <c r="K699" s="29"/>
      <c r="M699" s="29"/>
      <c r="N699" s="29"/>
      <c r="P699" s="29"/>
      <c r="Q699" s="29"/>
      <c r="S699" s="29"/>
      <c r="T699" s="29"/>
      <c r="V699" s="29"/>
      <c r="X699" s="29"/>
      <c r="Y699" s="29"/>
      <c r="Z699" s="29"/>
    </row>
    <row r="700" spans="1:26" ht="15" thickBot="1">
      <c r="A700" s="49">
        <v>45179</v>
      </c>
      <c r="B700" s="29" t="s">
        <v>254</v>
      </c>
      <c r="C700" s="29" t="s">
        <v>244</v>
      </c>
      <c r="D700" s="29" t="s">
        <v>237</v>
      </c>
      <c r="E700" s="29" t="s">
        <v>8</v>
      </c>
      <c r="F700" s="29" t="s">
        <v>238</v>
      </c>
      <c r="G700" s="29" t="s">
        <v>296</v>
      </c>
      <c r="H700" s="32">
        <v>16</v>
      </c>
      <c r="I700" s="32">
        <v>1873.12</v>
      </c>
      <c r="J700" s="32">
        <v>29969.919999999998</v>
      </c>
      <c r="K700" s="29"/>
      <c r="M700" s="29"/>
      <c r="N700" s="29"/>
      <c r="P700" s="29"/>
      <c r="Q700" s="29"/>
      <c r="S700" s="29"/>
      <c r="T700" s="29"/>
      <c r="V700" s="29"/>
      <c r="X700" s="29"/>
      <c r="Y700" s="29"/>
      <c r="Z700" s="29"/>
    </row>
    <row r="701" spans="1:26" ht="15" thickBot="1">
      <c r="A701" s="49">
        <v>45233</v>
      </c>
      <c r="B701" s="29" t="s">
        <v>248</v>
      </c>
      <c r="C701" s="29" t="s">
        <v>249</v>
      </c>
      <c r="D701" s="29" t="s">
        <v>232</v>
      </c>
      <c r="E701" s="29" t="s">
        <v>6</v>
      </c>
      <c r="F701" s="29" t="s">
        <v>250</v>
      </c>
      <c r="G701" s="29" t="s">
        <v>284</v>
      </c>
      <c r="H701" s="32">
        <v>7</v>
      </c>
      <c r="I701" s="32">
        <v>1640.58</v>
      </c>
      <c r="J701" s="32">
        <v>11484.06</v>
      </c>
      <c r="K701" s="29"/>
      <c r="M701" s="29"/>
      <c r="N701" s="29"/>
      <c r="P701" s="29"/>
      <c r="Q701" s="29"/>
      <c r="S701" s="29"/>
      <c r="T701" s="29"/>
      <c r="V701" s="29"/>
      <c r="X701" s="29"/>
      <c r="Y701" s="29"/>
      <c r="Z701" s="29"/>
    </row>
    <row r="702" spans="1:26" ht="15" thickBot="1">
      <c r="A702" s="32" t="s">
        <v>386</v>
      </c>
      <c r="B702" s="29" t="s">
        <v>230</v>
      </c>
      <c r="C702" s="29" t="s">
        <v>231</v>
      </c>
      <c r="D702" s="29" t="s">
        <v>232</v>
      </c>
      <c r="E702" s="29" t="s">
        <v>6</v>
      </c>
      <c r="F702" s="29" t="s">
        <v>259</v>
      </c>
      <c r="G702" s="29" t="s">
        <v>182</v>
      </c>
      <c r="H702" s="32">
        <v>13</v>
      </c>
      <c r="I702" s="32">
        <v>4843.21</v>
      </c>
      <c r="J702" s="32">
        <v>62961.73</v>
      </c>
      <c r="K702" s="29"/>
      <c r="M702" s="29"/>
      <c r="N702" s="29"/>
      <c r="P702" s="29"/>
      <c r="Q702" s="29"/>
      <c r="S702" s="29"/>
      <c r="T702" s="29"/>
      <c r="V702" s="29"/>
      <c r="X702" s="29"/>
      <c r="Y702" s="29"/>
      <c r="Z702" s="29"/>
    </row>
    <row r="703" spans="1:26" ht="15" thickBot="1">
      <c r="A703" s="32" t="s">
        <v>325</v>
      </c>
      <c r="B703" s="29" t="s">
        <v>280</v>
      </c>
      <c r="C703" s="29" t="s">
        <v>273</v>
      </c>
      <c r="D703" s="29" t="s">
        <v>252</v>
      </c>
      <c r="E703" s="29" t="s">
        <v>5</v>
      </c>
      <c r="F703" s="29" t="s">
        <v>238</v>
      </c>
      <c r="G703" s="29" t="s">
        <v>239</v>
      </c>
      <c r="H703" s="32">
        <v>13</v>
      </c>
      <c r="I703" s="32">
        <v>1782.01</v>
      </c>
      <c r="J703" s="32">
        <v>23166.13</v>
      </c>
      <c r="K703" s="29"/>
      <c r="M703" s="29"/>
      <c r="N703" s="29"/>
      <c r="P703" s="29"/>
      <c r="Q703" s="29"/>
      <c r="S703" s="29"/>
      <c r="T703" s="29"/>
      <c r="V703" s="29"/>
      <c r="X703" s="29"/>
      <c r="Y703" s="29"/>
      <c r="Z703" s="29"/>
    </row>
    <row r="704" spans="1:26" ht="15" thickBot="1">
      <c r="A704" s="32" t="s">
        <v>371</v>
      </c>
      <c r="B704" s="29" t="s">
        <v>280</v>
      </c>
      <c r="C704" s="29" t="s">
        <v>258</v>
      </c>
      <c r="D704" s="29" t="s">
        <v>242</v>
      </c>
      <c r="E704" s="29" t="s">
        <v>8</v>
      </c>
      <c r="F704" s="29" t="s">
        <v>250</v>
      </c>
      <c r="G704" s="29" t="s">
        <v>284</v>
      </c>
      <c r="H704" s="32">
        <v>19</v>
      </c>
      <c r="I704" s="32">
        <v>1120.5999999999999</v>
      </c>
      <c r="J704" s="32">
        <v>21291.4</v>
      </c>
      <c r="K704" s="29"/>
      <c r="M704" s="29"/>
      <c r="N704" s="29"/>
      <c r="P704" s="29"/>
      <c r="Q704" s="29"/>
      <c r="S704" s="29"/>
      <c r="T704" s="29"/>
      <c r="V704" s="29"/>
      <c r="X704" s="29"/>
      <c r="Y704" s="29"/>
      <c r="Z704" s="29"/>
    </row>
    <row r="705" spans="1:26" ht="15" thickBot="1">
      <c r="A705" s="32" t="s">
        <v>275</v>
      </c>
      <c r="B705" s="29" t="s">
        <v>260</v>
      </c>
      <c r="C705" s="29" t="s">
        <v>241</v>
      </c>
      <c r="D705" s="29" t="s">
        <v>242</v>
      </c>
      <c r="E705" s="29" t="s">
        <v>8</v>
      </c>
      <c r="F705" s="29" t="s">
        <v>233</v>
      </c>
      <c r="G705" s="29" t="s">
        <v>287</v>
      </c>
      <c r="H705" s="32">
        <v>2</v>
      </c>
      <c r="I705" s="32">
        <v>1927.02</v>
      </c>
      <c r="J705" s="32">
        <v>3854.04</v>
      </c>
      <c r="K705" s="29"/>
      <c r="M705" s="29"/>
      <c r="N705" s="29"/>
      <c r="P705" s="29"/>
      <c r="Q705" s="29"/>
      <c r="S705" s="29"/>
      <c r="T705" s="29"/>
      <c r="V705" s="29"/>
      <c r="X705" s="29"/>
      <c r="Y705" s="29"/>
      <c r="Z705" s="29"/>
    </row>
    <row r="706" spans="1:26" ht="15" thickBot="1">
      <c r="A706" s="32" t="s">
        <v>388</v>
      </c>
      <c r="B706" s="29" t="s">
        <v>248</v>
      </c>
      <c r="C706" s="29" t="s">
        <v>249</v>
      </c>
      <c r="D706" s="29" t="s">
        <v>232</v>
      </c>
      <c r="E706" s="29" t="s">
        <v>6</v>
      </c>
      <c r="F706" s="29" t="s">
        <v>233</v>
      </c>
      <c r="G706" s="29" t="s">
        <v>301</v>
      </c>
      <c r="H706" s="32">
        <v>15</v>
      </c>
      <c r="I706" s="32">
        <v>4642.6899999999996</v>
      </c>
      <c r="J706" s="32">
        <v>69640.350000000006</v>
      </c>
      <c r="K706" s="29"/>
      <c r="M706" s="29"/>
      <c r="N706" s="29"/>
      <c r="P706" s="29"/>
      <c r="Q706" s="29"/>
      <c r="S706" s="29"/>
      <c r="T706" s="29"/>
      <c r="V706" s="29"/>
      <c r="X706" s="29"/>
      <c r="Y706" s="29"/>
      <c r="Z706" s="29"/>
    </row>
    <row r="707" spans="1:26" ht="15" thickBot="1">
      <c r="A707" s="32" t="s">
        <v>470</v>
      </c>
      <c r="B707" s="29" t="s">
        <v>248</v>
      </c>
      <c r="C707" s="29" t="s">
        <v>249</v>
      </c>
      <c r="D707" s="29" t="s">
        <v>232</v>
      </c>
      <c r="E707" s="29" t="s">
        <v>6</v>
      </c>
      <c r="F707" s="29" t="s">
        <v>238</v>
      </c>
      <c r="G707" s="29" t="s">
        <v>239</v>
      </c>
      <c r="H707" s="32">
        <v>19</v>
      </c>
      <c r="I707" s="32">
        <v>3316.87</v>
      </c>
      <c r="J707" s="32">
        <v>63020.53</v>
      </c>
      <c r="K707" s="29"/>
      <c r="M707" s="29"/>
      <c r="N707" s="29"/>
      <c r="P707" s="29"/>
      <c r="Q707" s="29"/>
      <c r="S707" s="29"/>
      <c r="T707" s="29"/>
      <c r="V707" s="29"/>
      <c r="X707" s="29"/>
      <c r="Y707" s="29"/>
      <c r="Z707" s="29"/>
    </row>
    <row r="708" spans="1:26" ht="15" thickBot="1">
      <c r="A708" s="49">
        <v>45024</v>
      </c>
      <c r="B708" s="29" t="s">
        <v>235</v>
      </c>
      <c r="C708" s="29" t="s">
        <v>276</v>
      </c>
      <c r="D708" s="29" t="s">
        <v>247</v>
      </c>
      <c r="E708" s="29" t="s">
        <v>6</v>
      </c>
      <c r="F708" s="29" t="s">
        <v>238</v>
      </c>
      <c r="G708" s="29" t="s">
        <v>303</v>
      </c>
      <c r="H708" s="32">
        <v>19</v>
      </c>
      <c r="I708" s="32">
        <v>1372.28</v>
      </c>
      <c r="J708" s="32">
        <v>26073.32</v>
      </c>
      <c r="K708" s="29"/>
      <c r="M708" s="29"/>
      <c r="N708" s="29"/>
      <c r="P708" s="29"/>
      <c r="Q708" s="29"/>
      <c r="S708" s="29"/>
      <c r="T708" s="29"/>
      <c r="V708" s="29"/>
      <c r="X708" s="29"/>
      <c r="Y708" s="29"/>
      <c r="Z708" s="29"/>
    </row>
    <row r="709" spans="1:26" ht="15" thickBot="1">
      <c r="A709" s="49">
        <v>45078</v>
      </c>
      <c r="B709" s="29" t="s">
        <v>248</v>
      </c>
      <c r="C709" s="29" t="s">
        <v>241</v>
      </c>
      <c r="D709" s="29" t="s">
        <v>242</v>
      </c>
      <c r="E709" s="29" t="s">
        <v>8</v>
      </c>
      <c r="F709" s="29" t="s">
        <v>238</v>
      </c>
      <c r="G709" s="29" t="s">
        <v>303</v>
      </c>
      <c r="H709" s="32">
        <v>8</v>
      </c>
      <c r="I709" s="32">
        <v>4786.4799999999996</v>
      </c>
      <c r="J709" s="32">
        <v>38291.839999999997</v>
      </c>
      <c r="K709" s="29"/>
      <c r="M709" s="29"/>
      <c r="N709" s="29"/>
      <c r="P709" s="29"/>
      <c r="Q709" s="29"/>
      <c r="S709" s="29"/>
      <c r="T709" s="29"/>
      <c r="V709" s="29"/>
      <c r="X709" s="29"/>
      <c r="Y709" s="29"/>
      <c r="Z709" s="29"/>
    </row>
    <row r="710" spans="1:26" ht="15" thickBot="1">
      <c r="A710" s="32" t="s">
        <v>345</v>
      </c>
      <c r="B710" s="29" t="s">
        <v>240</v>
      </c>
      <c r="C710" s="29" t="s">
        <v>255</v>
      </c>
      <c r="D710" s="29" t="s">
        <v>237</v>
      </c>
      <c r="E710" s="29" t="s">
        <v>8</v>
      </c>
      <c r="F710" s="29" t="s">
        <v>233</v>
      </c>
      <c r="G710" s="29" t="s">
        <v>301</v>
      </c>
      <c r="H710" s="32">
        <v>18</v>
      </c>
      <c r="I710" s="32">
        <v>620.92999999999995</v>
      </c>
      <c r="J710" s="32">
        <v>11176.74</v>
      </c>
      <c r="K710" s="29"/>
      <c r="M710" s="29"/>
      <c r="N710" s="29"/>
      <c r="P710" s="29"/>
      <c r="Q710" s="29"/>
      <c r="S710" s="29"/>
      <c r="T710" s="29"/>
      <c r="V710" s="29"/>
      <c r="X710" s="29"/>
      <c r="Y710" s="29"/>
      <c r="Z710" s="29"/>
    </row>
    <row r="711" spans="1:26" ht="15" thickBot="1">
      <c r="A711" s="32" t="s">
        <v>243</v>
      </c>
      <c r="B711" s="29" t="s">
        <v>280</v>
      </c>
      <c r="C711" s="29" t="s">
        <v>255</v>
      </c>
      <c r="D711" s="29" t="s">
        <v>237</v>
      </c>
      <c r="E711" s="29" t="s">
        <v>8</v>
      </c>
      <c r="F711" s="29" t="s">
        <v>259</v>
      </c>
      <c r="G711" s="29" t="s">
        <v>299</v>
      </c>
      <c r="H711" s="32">
        <v>4</v>
      </c>
      <c r="I711" s="32">
        <v>1241.21</v>
      </c>
      <c r="J711" s="32">
        <v>4964.84</v>
      </c>
      <c r="K711" s="29"/>
      <c r="M711" s="29"/>
      <c r="N711" s="29"/>
      <c r="P711" s="29"/>
      <c r="Q711" s="29"/>
      <c r="S711" s="29"/>
      <c r="T711" s="29"/>
      <c r="V711" s="29"/>
      <c r="X711" s="29"/>
      <c r="Y711" s="29"/>
      <c r="Z711" s="29"/>
    </row>
    <row r="712" spans="1:26" ht="15" thickBot="1">
      <c r="A712" s="32" t="s">
        <v>415</v>
      </c>
      <c r="B712" s="29" t="s">
        <v>230</v>
      </c>
      <c r="C712" s="29" t="s">
        <v>274</v>
      </c>
      <c r="D712" s="29" t="s">
        <v>232</v>
      </c>
      <c r="E712" s="29" t="s">
        <v>6</v>
      </c>
      <c r="F712" s="29" t="s">
        <v>259</v>
      </c>
      <c r="G712" s="29" t="s">
        <v>299</v>
      </c>
      <c r="H712" s="32">
        <v>10</v>
      </c>
      <c r="I712" s="32">
        <v>1823.34</v>
      </c>
      <c r="J712" s="32">
        <v>18233.400000000001</v>
      </c>
      <c r="K712" s="29"/>
      <c r="M712" s="29"/>
      <c r="N712" s="29"/>
      <c r="P712" s="29"/>
      <c r="Q712" s="29"/>
      <c r="S712" s="29"/>
      <c r="T712" s="29"/>
      <c r="V712" s="29"/>
      <c r="X712" s="29"/>
      <c r="Y712" s="29"/>
      <c r="Z712" s="29"/>
    </row>
    <row r="713" spans="1:26" ht="15" thickBot="1">
      <c r="A713" s="49">
        <v>45146</v>
      </c>
      <c r="B713" s="29" t="s">
        <v>271</v>
      </c>
      <c r="C713" s="29" t="s">
        <v>274</v>
      </c>
      <c r="D713" s="29" t="s">
        <v>232</v>
      </c>
      <c r="E713" s="29" t="s">
        <v>6</v>
      </c>
      <c r="F713" s="29" t="s">
        <v>245</v>
      </c>
      <c r="G713" s="29" t="s">
        <v>266</v>
      </c>
      <c r="H713" s="32">
        <v>10</v>
      </c>
      <c r="I713" s="32">
        <v>4304.71</v>
      </c>
      <c r="J713" s="32">
        <v>43047.1</v>
      </c>
      <c r="K713" s="29"/>
      <c r="M713" s="29"/>
      <c r="N713" s="29"/>
      <c r="P713" s="29"/>
      <c r="Q713" s="29"/>
      <c r="S713" s="29"/>
      <c r="T713" s="29"/>
      <c r="V713" s="29"/>
      <c r="X713" s="29"/>
      <c r="Y713" s="29"/>
      <c r="Z713" s="29"/>
    </row>
    <row r="714" spans="1:26" ht="15" thickBot="1">
      <c r="A714" s="32" t="s">
        <v>471</v>
      </c>
      <c r="B714" s="29" t="s">
        <v>280</v>
      </c>
      <c r="C714" s="29" t="s">
        <v>236</v>
      </c>
      <c r="D714" s="29" t="s">
        <v>237</v>
      </c>
      <c r="E714" s="29" t="s">
        <v>8</v>
      </c>
      <c r="F714" s="29" t="s">
        <v>250</v>
      </c>
      <c r="G714" s="29" t="s">
        <v>284</v>
      </c>
      <c r="H714" s="32">
        <v>11</v>
      </c>
      <c r="I714" s="32">
        <v>4446.37</v>
      </c>
      <c r="J714" s="32">
        <v>48910.07</v>
      </c>
      <c r="K714" s="29"/>
      <c r="M714" s="29"/>
      <c r="N714" s="29"/>
      <c r="P714" s="29"/>
      <c r="Q714" s="29"/>
      <c r="S714" s="29"/>
      <c r="T714" s="29"/>
      <c r="V714" s="29"/>
      <c r="X714" s="29"/>
      <c r="Y714" s="29"/>
      <c r="Z714" s="29"/>
    </row>
    <row r="715" spans="1:26" ht="15" thickBot="1">
      <c r="A715" s="32" t="s">
        <v>362</v>
      </c>
      <c r="B715" s="29" t="s">
        <v>240</v>
      </c>
      <c r="C715" s="29" t="s">
        <v>249</v>
      </c>
      <c r="D715" s="29" t="s">
        <v>232</v>
      </c>
      <c r="E715" s="29" t="s">
        <v>6</v>
      </c>
      <c r="F715" s="29" t="s">
        <v>250</v>
      </c>
      <c r="G715" s="29" t="s">
        <v>251</v>
      </c>
      <c r="H715" s="32">
        <v>8</v>
      </c>
      <c r="I715" s="32">
        <v>465.32</v>
      </c>
      <c r="J715" s="32">
        <v>3722.56</v>
      </c>
      <c r="K715" s="29"/>
      <c r="M715" s="29"/>
      <c r="N715" s="29"/>
      <c r="P715" s="29"/>
      <c r="Q715" s="29"/>
      <c r="S715" s="29"/>
      <c r="T715" s="29"/>
      <c r="V715" s="29"/>
      <c r="X715" s="29"/>
      <c r="Y715" s="29"/>
      <c r="Z715" s="29"/>
    </row>
    <row r="716" spans="1:26" ht="15" thickBot="1">
      <c r="A716" s="32" t="s">
        <v>333</v>
      </c>
      <c r="B716" s="29" t="s">
        <v>257</v>
      </c>
      <c r="C716" s="29" t="s">
        <v>244</v>
      </c>
      <c r="D716" s="29" t="s">
        <v>237</v>
      </c>
      <c r="E716" s="29" t="s">
        <v>8</v>
      </c>
      <c r="F716" s="29" t="s">
        <v>238</v>
      </c>
      <c r="G716" s="29" t="s">
        <v>296</v>
      </c>
      <c r="H716" s="32">
        <v>1</v>
      </c>
      <c r="I716" s="32">
        <v>3431.7</v>
      </c>
      <c r="J716" s="32">
        <v>3431.7</v>
      </c>
      <c r="K716" s="29"/>
      <c r="M716" s="29"/>
      <c r="N716" s="29"/>
      <c r="P716" s="29"/>
      <c r="Q716" s="29"/>
      <c r="S716" s="29"/>
      <c r="T716" s="29"/>
      <c r="V716" s="29"/>
      <c r="X716" s="29"/>
      <c r="Y716" s="29"/>
      <c r="Z716" s="29"/>
    </row>
    <row r="717" spans="1:26" ht="15" thickBot="1">
      <c r="A717" s="32" t="s">
        <v>472</v>
      </c>
      <c r="B717" s="29" t="s">
        <v>248</v>
      </c>
      <c r="C717" s="29" t="s">
        <v>249</v>
      </c>
      <c r="D717" s="29" t="s">
        <v>232</v>
      </c>
      <c r="E717" s="29" t="s">
        <v>6</v>
      </c>
      <c r="F717" s="29" t="s">
        <v>233</v>
      </c>
      <c r="G717" s="29" t="s">
        <v>301</v>
      </c>
      <c r="H717" s="32">
        <v>20</v>
      </c>
      <c r="I717" s="32">
        <v>1365.33</v>
      </c>
      <c r="J717" s="32">
        <v>27306.6</v>
      </c>
      <c r="K717" s="29"/>
      <c r="M717" s="29"/>
      <c r="N717" s="29"/>
      <c r="P717" s="29"/>
      <c r="Q717" s="29"/>
      <c r="S717" s="29"/>
      <c r="T717" s="29"/>
      <c r="V717" s="29"/>
      <c r="X717" s="29"/>
      <c r="Y717" s="29"/>
      <c r="Z717" s="29"/>
    </row>
    <row r="718" spans="1:26" ht="15" thickBot="1">
      <c r="A718" s="32" t="s">
        <v>434</v>
      </c>
      <c r="B718" s="29" t="s">
        <v>240</v>
      </c>
      <c r="C718" s="29" t="s">
        <v>236</v>
      </c>
      <c r="D718" s="29" t="s">
        <v>237</v>
      </c>
      <c r="E718" s="29" t="s">
        <v>8</v>
      </c>
      <c r="F718" s="29" t="s">
        <v>259</v>
      </c>
      <c r="G718" s="29" t="s">
        <v>179</v>
      </c>
      <c r="H718" s="32">
        <v>14</v>
      </c>
      <c r="I718" s="32">
        <v>2343.4</v>
      </c>
      <c r="J718" s="32">
        <v>32807.599999999999</v>
      </c>
      <c r="K718" s="29"/>
      <c r="M718" s="29"/>
      <c r="N718" s="29"/>
      <c r="P718" s="29"/>
      <c r="Q718" s="29"/>
      <c r="S718" s="29"/>
      <c r="T718" s="29"/>
      <c r="V718" s="29"/>
      <c r="X718" s="29"/>
      <c r="Y718" s="29"/>
      <c r="Z718" s="29"/>
    </row>
    <row r="719" spans="1:26" ht="15" thickBot="1">
      <c r="A719" s="49">
        <v>45078</v>
      </c>
      <c r="B719" s="29" t="s">
        <v>268</v>
      </c>
      <c r="C719" s="29" t="s">
        <v>261</v>
      </c>
      <c r="D719" s="29" t="s">
        <v>247</v>
      </c>
      <c r="E719" s="29" t="s">
        <v>6</v>
      </c>
      <c r="F719" s="29" t="s">
        <v>259</v>
      </c>
      <c r="G719" s="29" t="s">
        <v>182</v>
      </c>
      <c r="H719" s="32">
        <v>15</v>
      </c>
      <c r="I719" s="32">
        <v>447.71</v>
      </c>
      <c r="J719" s="32">
        <v>6715.65</v>
      </c>
      <c r="K719" s="29"/>
      <c r="M719" s="29"/>
      <c r="N719" s="29"/>
      <c r="P719" s="29"/>
      <c r="Q719" s="29"/>
      <c r="S719" s="29"/>
      <c r="T719" s="29"/>
      <c r="V719" s="29"/>
      <c r="X719" s="29"/>
      <c r="Y719" s="29"/>
      <c r="Z719" s="29"/>
    </row>
    <row r="720" spans="1:26" ht="15" thickBot="1">
      <c r="A720" s="49">
        <v>45047</v>
      </c>
      <c r="B720" s="29" t="s">
        <v>268</v>
      </c>
      <c r="C720" s="29" t="s">
        <v>316</v>
      </c>
      <c r="D720" s="29" t="s">
        <v>247</v>
      </c>
      <c r="E720" s="29" t="s">
        <v>6</v>
      </c>
      <c r="F720" s="29" t="s">
        <v>250</v>
      </c>
      <c r="G720" s="29" t="s">
        <v>293</v>
      </c>
      <c r="H720" s="32">
        <v>3</v>
      </c>
      <c r="I720" s="32">
        <v>2393.7199999999998</v>
      </c>
      <c r="J720" s="32">
        <v>7181.16</v>
      </c>
      <c r="K720" s="29"/>
      <c r="M720" s="29"/>
      <c r="N720" s="29"/>
      <c r="P720" s="29"/>
      <c r="Q720" s="29"/>
      <c r="S720" s="29"/>
      <c r="T720" s="29"/>
      <c r="V720" s="29"/>
      <c r="X720" s="29"/>
      <c r="Y720" s="29"/>
      <c r="Z720" s="29"/>
    </row>
    <row r="721" spans="1:26" ht="15" thickBot="1">
      <c r="A721" s="32" t="s">
        <v>389</v>
      </c>
      <c r="B721" s="29" t="s">
        <v>280</v>
      </c>
      <c r="C721" s="29" t="s">
        <v>273</v>
      </c>
      <c r="D721" s="29" t="s">
        <v>252</v>
      </c>
      <c r="E721" s="29" t="s">
        <v>5</v>
      </c>
      <c r="F721" s="29" t="s">
        <v>245</v>
      </c>
      <c r="G721" s="29" t="s">
        <v>266</v>
      </c>
      <c r="H721" s="32">
        <v>20</v>
      </c>
      <c r="I721" s="32">
        <v>138.6</v>
      </c>
      <c r="J721" s="32">
        <v>2772</v>
      </c>
      <c r="K721" s="29"/>
      <c r="M721" s="29"/>
      <c r="N721" s="29"/>
      <c r="P721" s="29"/>
      <c r="Q721" s="29"/>
      <c r="S721" s="29"/>
      <c r="T721" s="29"/>
      <c r="V721" s="29"/>
      <c r="X721" s="29"/>
      <c r="Y721" s="29"/>
      <c r="Z721" s="29"/>
    </row>
    <row r="722" spans="1:26" ht="15" thickBot="1">
      <c r="A722" s="32" t="s">
        <v>408</v>
      </c>
      <c r="B722" s="29" t="s">
        <v>260</v>
      </c>
      <c r="C722" s="29" t="s">
        <v>249</v>
      </c>
      <c r="D722" s="29" t="s">
        <v>232</v>
      </c>
      <c r="E722" s="29" t="s">
        <v>6</v>
      </c>
      <c r="F722" s="29" t="s">
        <v>250</v>
      </c>
      <c r="G722" s="29" t="s">
        <v>251</v>
      </c>
      <c r="H722" s="32">
        <v>6</v>
      </c>
      <c r="I722" s="32">
        <v>3119.62</v>
      </c>
      <c r="J722" s="32">
        <v>18717.72</v>
      </c>
      <c r="K722" s="29"/>
      <c r="M722" s="29"/>
      <c r="N722" s="29"/>
      <c r="P722" s="29"/>
      <c r="Q722" s="29"/>
      <c r="S722" s="29"/>
      <c r="T722" s="29"/>
      <c r="V722" s="29"/>
      <c r="X722" s="29"/>
      <c r="Y722" s="29"/>
      <c r="Z722" s="29"/>
    </row>
    <row r="723" spans="1:26" ht="15" thickBot="1">
      <c r="A723" s="32" t="s">
        <v>433</v>
      </c>
      <c r="B723" s="29" t="s">
        <v>254</v>
      </c>
      <c r="C723" s="29" t="s">
        <v>255</v>
      </c>
      <c r="D723" s="29" t="s">
        <v>237</v>
      </c>
      <c r="E723" s="29" t="s">
        <v>8</v>
      </c>
      <c r="F723" s="29" t="s">
        <v>259</v>
      </c>
      <c r="G723" s="29" t="s">
        <v>299</v>
      </c>
      <c r="H723" s="32">
        <v>1</v>
      </c>
      <c r="I723" s="32">
        <v>4175.7</v>
      </c>
      <c r="J723" s="32">
        <v>4175.7</v>
      </c>
      <c r="K723" s="29"/>
      <c r="M723" s="29"/>
      <c r="N723" s="29"/>
      <c r="P723" s="29"/>
      <c r="Q723" s="29"/>
      <c r="S723" s="29"/>
      <c r="T723" s="29"/>
      <c r="V723" s="29"/>
      <c r="X723" s="29"/>
      <c r="Y723" s="29"/>
      <c r="Z723" s="29"/>
    </row>
    <row r="724" spans="1:26" ht="15" thickBot="1">
      <c r="A724" s="32" t="s">
        <v>253</v>
      </c>
      <c r="B724" s="29" t="s">
        <v>271</v>
      </c>
      <c r="C724" s="29" t="s">
        <v>281</v>
      </c>
      <c r="D724" s="29" t="s">
        <v>252</v>
      </c>
      <c r="E724" s="29" t="s">
        <v>5</v>
      </c>
      <c r="F724" s="29" t="s">
        <v>238</v>
      </c>
      <c r="G724" s="29" t="s">
        <v>296</v>
      </c>
      <c r="H724" s="32">
        <v>17</v>
      </c>
      <c r="I724" s="32">
        <v>2655.23</v>
      </c>
      <c r="J724" s="32">
        <v>45138.91</v>
      </c>
      <c r="K724" s="29"/>
      <c r="M724" s="29"/>
      <c r="N724" s="29"/>
      <c r="P724" s="29"/>
      <c r="Q724" s="29"/>
      <c r="S724" s="29"/>
      <c r="T724" s="29"/>
      <c r="V724" s="29"/>
      <c r="X724" s="29"/>
      <c r="Y724" s="29"/>
      <c r="Z724" s="29"/>
    </row>
    <row r="725" spans="1:26" ht="15" thickBot="1">
      <c r="A725" s="49">
        <v>44967</v>
      </c>
      <c r="B725" s="29" t="s">
        <v>268</v>
      </c>
      <c r="C725" s="29" t="s">
        <v>313</v>
      </c>
      <c r="D725" s="29" t="s">
        <v>252</v>
      </c>
      <c r="E725" s="29" t="s">
        <v>5</v>
      </c>
      <c r="F725" s="29" t="s">
        <v>250</v>
      </c>
      <c r="G725" s="29" t="s">
        <v>293</v>
      </c>
      <c r="H725" s="32">
        <v>14</v>
      </c>
      <c r="I725" s="32">
        <v>4235.22</v>
      </c>
      <c r="J725" s="32">
        <v>59293.08</v>
      </c>
      <c r="K725" s="29"/>
      <c r="M725" s="29"/>
      <c r="N725" s="29"/>
      <c r="P725" s="29"/>
      <c r="Q725" s="29"/>
      <c r="S725" s="29"/>
      <c r="T725" s="29"/>
      <c r="V725" s="29"/>
      <c r="X725" s="29"/>
      <c r="Y725" s="29"/>
      <c r="Z725" s="29"/>
    </row>
    <row r="726" spans="1:26" ht="15" thickBot="1">
      <c r="A726" s="32" t="s">
        <v>410</v>
      </c>
      <c r="B726" s="29" t="s">
        <v>230</v>
      </c>
      <c r="C726" s="29" t="s">
        <v>273</v>
      </c>
      <c r="D726" s="29" t="s">
        <v>252</v>
      </c>
      <c r="E726" s="29" t="s">
        <v>5</v>
      </c>
      <c r="F726" s="29" t="s">
        <v>238</v>
      </c>
      <c r="G726" s="29" t="s">
        <v>296</v>
      </c>
      <c r="H726" s="32">
        <v>20</v>
      </c>
      <c r="I726" s="32">
        <v>3393.01</v>
      </c>
      <c r="J726" s="32">
        <v>67860.2</v>
      </c>
      <c r="K726" s="29"/>
      <c r="M726" s="29"/>
      <c r="N726" s="29"/>
      <c r="P726" s="29"/>
      <c r="Q726" s="29"/>
      <c r="S726" s="29"/>
      <c r="T726" s="29"/>
      <c r="V726" s="29"/>
      <c r="X726" s="29"/>
      <c r="Y726" s="29"/>
      <c r="Z726" s="29"/>
    </row>
    <row r="727" spans="1:26" ht="15" thickBot="1">
      <c r="A727" s="49">
        <v>44961</v>
      </c>
      <c r="B727" s="29" t="s">
        <v>268</v>
      </c>
      <c r="C727" s="29" t="s">
        <v>258</v>
      </c>
      <c r="D727" s="29" t="s">
        <v>242</v>
      </c>
      <c r="E727" s="29" t="s">
        <v>8</v>
      </c>
      <c r="F727" s="29" t="s">
        <v>259</v>
      </c>
      <c r="G727" s="29" t="s">
        <v>179</v>
      </c>
      <c r="H727" s="32">
        <v>14</v>
      </c>
      <c r="I727" s="32">
        <v>1247.48</v>
      </c>
      <c r="J727" s="32">
        <v>17464.72</v>
      </c>
      <c r="K727" s="29"/>
      <c r="M727" s="29"/>
      <c r="N727" s="29"/>
      <c r="P727" s="29"/>
      <c r="Q727" s="29"/>
      <c r="S727" s="29"/>
      <c r="T727" s="29"/>
      <c r="V727" s="29"/>
      <c r="X727" s="29"/>
      <c r="Y727" s="29"/>
      <c r="Z727" s="29"/>
    </row>
    <row r="728" spans="1:26" ht="15" thickBot="1">
      <c r="A728" s="49">
        <v>45054</v>
      </c>
      <c r="B728" s="29" t="s">
        <v>271</v>
      </c>
      <c r="C728" s="29" t="s">
        <v>261</v>
      </c>
      <c r="D728" s="29" t="s">
        <v>247</v>
      </c>
      <c r="E728" s="29" t="s">
        <v>6</v>
      </c>
      <c r="F728" s="29" t="s">
        <v>245</v>
      </c>
      <c r="G728" s="29" t="s">
        <v>246</v>
      </c>
      <c r="H728" s="32">
        <v>20</v>
      </c>
      <c r="I728" s="32">
        <v>4428.59</v>
      </c>
      <c r="J728" s="32">
        <v>88571.8</v>
      </c>
      <c r="K728" s="29"/>
      <c r="M728" s="29"/>
      <c r="N728" s="29"/>
      <c r="P728" s="29"/>
      <c r="Q728" s="29"/>
      <c r="S728" s="29"/>
      <c r="T728" s="29"/>
      <c r="V728" s="29"/>
      <c r="X728" s="29"/>
      <c r="Y728" s="29"/>
      <c r="Z728" s="29"/>
    </row>
    <row r="729" spans="1:26" ht="15" thickBot="1">
      <c r="A729" s="49">
        <v>45058</v>
      </c>
      <c r="B729" s="29" t="s">
        <v>254</v>
      </c>
      <c r="C729" s="29" t="s">
        <v>255</v>
      </c>
      <c r="D729" s="29" t="s">
        <v>237</v>
      </c>
      <c r="E729" s="29" t="s">
        <v>8</v>
      </c>
      <c r="F729" s="29" t="s">
        <v>238</v>
      </c>
      <c r="G729" s="29" t="s">
        <v>239</v>
      </c>
      <c r="H729" s="32">
        <v>9</v>
      </c>
      <c r="I729" s="32">
        <v>2251.19</v>
      </c>
      <c r="J729" s="32">
        <v>20260.71</v>
      </c>
      <c r="K729" s="29"/>
      <c r="M729" s="29"/>
      <c r="N729" s="29"/>
      <c r="P729" s="29"/>
      <c r="Q729" s="29"/>
      <c r="S729" s="29"/>
      <c r="T729" s="29"/>
      <c r="V729" s="29"/>
      <c r="X729" s="29"/>
      <c r="Y729" s="29"/>
      <c r="Z729" s="29"/>
    </row>
    <row r="730" spans="1:26" ht="15" thickBot="1">
      <c r="A730" s="32" t="s">
        <v>473</v>
      </c>
      <c r="B730" s="29" t="s">
        <v>240</v>
      </c>
      <c r="C730" s="29" t="s">
        <v>236</v>
      </c>
      <c r="D730" s="29" t="s">
        <v>237</v>
      </c>
      <c r="E730" s="29" t="s">
        <v>8</v>
      </c>
      <c r="F730" s="29" t="s">
        <v>259</v>
      </c>
      <c r="G730" s="29" t="s">
        <v>298</v>
      </c>
      <c r="H730" s="32">
        <v>19</v>
      </c>
      <c r="I730" s="32">
        <v>2240.89</v>
      </c>
      <c r="J730" s="32">
        <v>42576.91</v>
      </c>
      <c r="K730" s="29"/>
      <c r="M730" s="29"/>
      <c r="N730" s="29"/>
      <c r="P730" s="29"/>
      <c r="Q730" s="29"/>
      <c r="S730" s="29"/>
      <c r="T730" s="29"/>
      <c r="V730" s="29"/>
      <c r="X730" s="29"/>
      <c r="Y730" s="29"/>
      <c r="Z730" s="29"/>
    </row>
    <row r="731" spans="1:26" ht="15" thickBot="1">
      <c r="A731" s="49">
        <v>45117</v>
      </c>
      <c r="B731" s="29" t="s">
        <v>257</v>
      </c>
      <c r="C731" s="29" t="s">
        <v>273</v>
      </c>
      <c r="D731" s="29" t="s">
        <v>252</v>
      </c>
      <c r="E731" s="29" t="s">
        <v>5</v>
      </c>
      <c r="F731" s="29" t="s">
        <v>233</v>
      </c>
      <c r="G731" s="29" t="s">
        <v>301</v>
      </c>
      <c r="H731" s="32">
        <v>19</v>
      </c>
      <c r="I731" s="32">
        <v>4089.21</v>
      </c>
      <c r="J731" s="32">
        <v>77694.990000000005</v>
      </c>
      <c r="K731" s="29"/>
      <c r="M731" s="29"/>
      <c r="N731" s="29"/>
      <c r="P731" s="29"/>
      <c r="Q731" s="29"/>
      <c r="S731" s="29"/>
      <c r="T731" s="29"/>
      <c r="V731" s="29"/>
      <c r="X731" s="29"/>
      <c r="Y731" s="29"/>
      <c r="Z731" s="29"/>
    </row>
    <row r="732" spans="1:26" ht="15" thickBot="1">
      <c r="A732" s="32" t="s">
        <v>360</v>
      </c>
      <c r="B732" s="29" t="s">
        <v>268</v>
      </c>
      <c r="C732" s="29" t="s">
        <v>236</v>
      </c>
      <c r="D732" s="29" t="s">
        <v>237</v>
      </c>
      <c r="E732" s="29" t="s">
        <v>8</v>
      </c>
      <c r="F732" s="29" t="s">
        <v>250</v>
      </c>
      <c r="G732" s="29" t="s">
        <v>277</v>
      </c>
      <c r="H732" s="32">
        <v>6</v>
      </c>
      <c r="I732" s="32">
        <v>4286.28</v>
      </c>
      <c r="J732" s="32">
        <v>25717.68</v>
      </c>
      <c r="K732" s="29"/>
      <c r="M732" s="29"/>
      <c r="N732" s="29"/>
      <c r="P732" s="29"/>
      <c r="Q732" s="29"/>
      <c r="S732" s="29"/>
      <c r="T732" s="29"/>
      <c r="V732" s="29"/>
      <c r="X732" s="29"/>
      <c r="Y732" s="29"/>
      <c r="Z732" s="29"/>
    </row>
    <row r="733" spans="1:26" ht="15" thickBot="1">
      <c r="A733" s="32" t="s">
        <v>361</v>
      </c>
      <c r="B733" s="29" t="s">
        <v>248</v>
      </c>
      <c r="C733" s="29" t="s">
        <v>244</v>
      </c>
      <c r="D733" s="29" t="s">
        <v>237</v>
      </c>
      <c r="E733" s="29" t="s">
        <v>8</v>
      </c>
      <c r="F733" s="29" t="s">
        <v>259</v>
      </c>
      <c r="G733" s="29" t="s">
        <v>182</v>
      </c>
      <c r="H733" s="32">
        <v>20</v>
      </c>
      <c r="I733" s="32">
        <v>1316.67</v>
      </c>
      <c r="J733" s="32">
        <v>26333.4</v>
      </c>
      <c r="K733" s="29"/>
      <c r="M733" s="29"/>
      <c r="N733" s="29"/>
      <c r="P733" s="29"/>
      <c r="Q733" s="29"/>
      <c r="S733" s="29"/>
      <c r="T733" s="29"/>
      <c r="V733" s="29"/>
      <c r="X733" s="29"/>
      <c r="Y733" s="29"/>
      <c r="Z733" s="29"/>
    </row>
    <row r="734" spans="1:26" ht="15" thickBot="1">
      <c r="A734" s="32" t="s">
        <v>435</v>
      </c>
      <c r="B734" s="29" t="s">
        <v>268</v>
      </c>
      <c r="C734" s="29" t="s">
        <v>276</v>
      </c>
      <c r="D734" s="29" t="s">
        <v>247</v>
      </c>
      <c r="E734" s="29" t="s">
        <v>6</v>
      </c>
      <c r="F734" s="29" t="s">
        <v>245</v>
      </c>
      <c r="G734" s="29" t="s">
        <v>295</v>
      </c>
      <c r="H734" s="32">
        <v>17</v>
      </c>
      <c r="I734" s="32">
        <v>3145.73</v>
      </c>
      <c r="J734" s="32">
        <v>53477.41</v>
      </c>
      <c r="K734" s="29"/>
      <c r="M734" s="29"/>
      <c r="N734" s="29"/>
      <c r="P734" s="29"/>
      <c r="Q734" s="29"/>
      <c r="S734" s="29"/>
      <c r="T734" s="29"/>
      <c r="V734" s="29"/>
      <c r="X734" s="29"/>
      <c r="Y734" s="29"/>
      <c r="Z734" s="29"/>
    </row>
    <row r="735" spans="1:26" ht="15" thickBot="1">
      <c r="A735" s="32" t="s">
        <v>373</v>
      </c>
      <c r="B735" s="29" t="s">
        <v>268</v>
      </c>
      <c r="C735" s="29" t="s">
        <v>274</v>
      </c>
      <c r="D735" s="29" t="s">
        <v>232</v>
      </c>
      <c r="E735" s="29" t="s">
        <v>6</v>
      </c>
      <c r="F735" s="29" t="s">
        <v>245</v>
      </c>
      <c r="G735" s="29" t="s">
        <v>266</v>
      </c>
      <c r="H735" s="32">
        <v>10</v>
      </c>
      <c r="I735" s="32">
        <v>2523.59</v>
      </c>
      <c r="J735" s="32">
        <v>25235.9</v>
      </c>
      <c r="K735" s="29"/>
      <c r="M735" s="29"/>
      <c r="N735" s="29"/>
      <c r="P735" s="29"/>
      <c r="Q735" s="29"/>
      <c r="S735" s="29"/>
      <c r="T735" s="29"/>
      <c r="V735" s="29"/>
      <c r="X735" s="29"/>
      <c r="Y735" s="29"/>
      <c r="Z735" s="29"/>
    </row>
    <row r="736" spans="1:26" ht="15" thickBot="1">
      <c r="A736" s="32" t="s">
        <v>439</v>
      </c>
      <c r="B736" s="29" t="s">
        <v>240</v>
      </c>
      <c r="C736" s="29" t="s">
        <v>281</v>
      </c>
      <c r="D736" s="29" t="s">
        <v>252</v>
      </c>
      <c r="E736" s="29" t="s">
        <v>5</v>
      </c>
      <c r="F736" s="29" t="s">
        <v>238</v>
      </c>
      <c r="G736" s="29" t="s">
        <v>239</v>
      </c>
      <c r="H736" s="32">
        <v>2</v>
      </c>
      <c r="I736" s="32">
        <v>2851.64</v>
      </c>
      <c r="J736" s="32">
        <v>5703.28</v>
      </c>
      <c r="K736" s="29"/>
      <c r="M736" s="29"/>
      <c r="N736" s="29"/>
      <c r="P736" s="29"/>
      <c r="Q736" s="29"/>
      <c r="S736" s="29"/>
      <c r="T736" s="29"/>
      <c r="V736" s="29"/>
      <c r="X736" s="29"/>
      <c r="Y736" s="29"/>
      <c r="Z736" s="29"/>
    </row>
    <row r="737" spans="1:26" ht="15" thickBot="1">
      <c r="A737" s="32" t="s">
        <v>421</v>
      </c>
      <c r="B737" s="29" t="s">
        <v>268</v>
      </c>
      <c r="C737" s="29" t="s">
        <v>274</v>
      </c>
      <c r="D737" s="29" t="s">
        <v>232</v>
      </c>
      <c r="E737" s="29" t="s">
        <v>6</v>
      </c>
      <c r="F737" s="29" t="s">
        <v>238</v>
      </c>
      <c r="G737" s="29" t="s">
        <v>239</v>
      </c>
      <c r="H737" s="32">
        <v>20</v>
      </c>
      <c r="I737" s="32">
        <v>3193.18</v>
      </c>
      <c r="J737" s="32">
        <v>63863.6</v>
      </c>
      <c r="K737" s="29"/>
      <c r="M737" s="29"/>
      <c r="N737" s="29"/>
      <c r="P737" s="29"/>
      <c r="Q737" s="29"/>
      <c r="S737" s="29"/>
      <c r="T737" s="29"/>
      <c r="V737" s="29"/>
      <c r="X737" s="29"/>
      <c r="Y737" s="29"/>
      <c r="Z737" s="29"/>
    </row>
    <row r="738" spans="1:26" ht="15" thickBot="1">
      <c r="A738" s="32" t="s">
        <v>375</v>
      </c>
      <c r="B738" s="29" t="s">
        <v>240</v>
      </c>
      <c r="C738" s="29" t="s">
        <v>313</v>
      </c>
      <c r="D738" s="29" t="s">
        <v>252</v>
      </c>
      <c r="E738" s="29" t="s">
        <v>5</v>
      </c>
      <c r="F738" s="29" t="s">
        <v>245</v>
      </c>
      <c r="G738" s="29" t="s">
        <v>266</v>
      </c>
      <c r="H738" s="32">
        <v>8</v>
      </c>
      <c r="I738" s="32">
        <v>4663.82</v>
      </c>
      <c r="J738" s="32">
        <v>37310.559999999998</v>
      </c>
      <c r="K738" s="29"/>
      <c r="M738" s="29"/>
      <c r="N738" s="29"/>
      <c r="P738" s="29"/>
      <c r="Q738" s="29"/>
      <c r="S738" s="29"/>
      <c r="T738" s="29"/>
      <c r="V738" s="29"/>
      <c r="X738" s="29"/>
      <c r="Y738" s="29"/>
      <c r="Z738" s="29"/>
    </row>
    <row r="739" spans="1:26" ht="15" thickBot="1">
      <c r="A739" s="49">
        <v>44938</v>
      </c>
      <c r="B739" s="29" t="s">
        <v>257</v>
      </c>
      <c r="C739" s="29" t="s">
        <v>249</v>
      </c>
      <c r="D739" s="29" t="s">
        <v>232</v>
      </c>
      <c r="E739" s="29" t="s">
        <v>6</v>
      </c>
      <c r="F739" s="29" t="s">
        <v>238</v>
      </c>
      <c r="G739" s="29" t="s">
        <v>303</v>
      </c>
      <c r="H739" s="32">
        <v>13</v>
      </c>
      <c r="I739" s="32">
        <v>4263.79</v>
      </c>
      <c r="J739" s="32">
        <v>55429.27</v>
      </c>
      <c r="K739" s="29"/>
      <c r="M739" s="29"/>
      <c r="N739" s="29"/>
      <c r="P739" s="29"/>
      <c r="Q739" s="29"/>
      <c r="S739" s="29"/>
      <c r="T739" s="29"/>
      <c r="V739" s="29"/>
      <c r="X739" s="29"/>
      <c r="Y739" s="29"/>
      <c r="Z739" s="29"/>
    </row>
    <row r="740" spans="1:26" ht="15" thickBot="1">
      <c r="A740" s="32" t="s">
        <v>418</v>
      </c>
      <c r="B740" s="29" t="s">
        <v>280</v>
      </c>
      <c r="C740" s="29" t="s">
        <v>244</v>
      </c>
      <c r="D740" s="29" t="s">
        <v>237</v>
      </c>
      <c r="E740" s="29" t="s">
        <v>8</v>
      </c>
      <c r="F740" s="29" t="s">
        <v>233</v>
      </c>
      <c r="G740" s="29" t="s">
        <v>304</v>
      </c>
      <c r="H740" s="32">
        <v>11</v>
      </c>
      <c r="I740" s="32">
        <v>819.85</v>
      </c>
      <c r="J740" s="32">
        <v>9018.35</v>
      </c>
      <c r="K740" s="29"/>
      <c r="M740" s="29"/>
      <c r="N740" s="29"/>
      <c r="P740" s="29"/>
      <c r="Q740" s="29"/>
      <c r="S740" s="29"/>
      <c r="T740" s="29"/>
      <c r="V740" s="29"/>
      <c r="X740" s="29"/>
      <c r="Y740" s="29"/>
      <c r="Z740" s="29"/>
    </row>
    <row r="741" spans="1:26" ht="15" thickBot="1">
      <c r="A741" s="32" t="s">
        <v>474</v>
      </c>
      <c r="B741" s="29" t="s">
        <v>271</v>
      </c>
      <c r="C741" s="29" t="s">
        <v>244</v>
      </c>
      <c r="D741" s="29" t="s">
        <v>237</v>
      </c>
      <c r="E741" s="29" t="s">
        <v>8</v>
      </c>
      <c r="F741" s="29" t="s">
        <v>259</v>
      </c>
      <c r="G741" s="29" t="s">
        <v>299</v>
      </c>
      <c r="H741" s="32">
        <v>8</v>
      </c>
      <c r="I741" s="32">
        <v>2784.08</v>
      </c>
      <c r="J741" s="32">
        <v>22272.639999999999</v>
      </c>
      <c r="K741" s="29"/>
      <c r="M741" s="29"/>
      <c r="N741" s="29"/>
      <c r="P741" s="29"/>
      <c r="Q741" s="29"/>
      <c r="S741" s="29"/>
      <c r="T741" s="29"/>
      <c r="V741" s="29"/>
      <c r="X741" s="29"/>
      <c r="Y741" s="29"/>
      <c r="Z741" s="29"/>
    </row>
    <row r="742" spans="1:26" ht="15" thickBot="1">
      <c r="A742" s="32" t="s">
        <v>379</v>
      </c>
      <c r="B742" s="29" t="s">
        <v>268</v>
      </c>
      <c r="C742" s="29" t="s">
        <v>255</v>
      </c>
      <c r="D742" s="29" t="s">
        <v>237</v>
      </c>
      <c r="E742" s="29" t="s">
        <v>8</v>
      </c>
      <c r="F742" s="29" t="s">
        <v>245</v>
      </c>
      <c r="G742" s="29" t="s">
        <v>269</v>
      </c>
      <c r="H742" s="32">
        <v>8</v>
      </c>
      <c r="I742" s="32">
        <v>2240.2199999999998</v>
      </c>
      <c r="J742" s="32">
        <v>17921.759999999998</v>
      </c>
      <c r="K742" s="29"/>
      <c r="M742" s="29"/>
      <c r="N742" s="29"/>
      <c r="P742" s="29"/>
      <c r="Q742" s="29"/>
      <c r="S742" s="29"/>
      <c r="T742" s="29"/>
      <c r="V742" s="29"/>
      <c r="X742" s="29"/>
      <c r="Y742" s="29"/>
      <c r="Z742" s="29"/>
    </row>
    <row r="743" spans="1:26" ht="15" thickBot="1">
      <c r="A743" s="49">
        <v>45089</v>
      </c>
      <c r="B743" s="29" t="s">
        <v>235</v>
      </c>
      <c r="C743" s="29" t="s">
        <v>255</v>
      </c>
      <c r="D743" s="29" t="s">
        <v>237</v>
      </c>
      <c r="E743" s="29" t="s">
        <v>8</v>
      </c>
      <c r="F743" s="29" t="s">
        <v>259</v>
      </c>
      <c r="G743" s="29" t="s">
        <v>179</v>
      </c>
      <c r="H743" s="32">
        <v>18</v>
      </c>
      <c r="I743" s="32">
        <v>1039.3800000000001</v>
      </c>
      <c r="J743" s="32">
        <v>18708.84</v>
      </c>
      <c r="K743" s="29"/>
      <c r="M743" s="29"/>
      <c r="N743" s="29"/>
      <c r="P743" s="29"/>
      <c r="Q743" s="29"/>
      <c r="S743" s="29"/>
      <c r="T743" s="29"/>
      <c r="V743" s="29"/>
      <c r="X743" s="29"/>
      <c r="Y743" s="29"/>
      <c r="Z743" s="29"/>
    </row>
    <row r="744" spans="1:26" ht="15" thickBot="1">
      <c r="A744" s="49">
        <v>45118</v>
      </c>
      <c r="B744" s="29" t="s">
        <v>248</v>
      </c>
      <c r="C744" s="29" t="s">
        <v>276</v>
      </c>
      <c r="D744" s="29" t="s">
        <v>247</v>
      </c>
      <c r="E744" s="29" t="s">
        <v>6</v>
      </c>
      <c r="F744" s="29" t="s">
        <v>250</v>
      </c>
      <c r="G744" s="29" t="s">
        <v>277</v>
      </c>
      <c r="H744" s="32">
        <v>18</v>
      </c>
      <c r="I744" s="32">
        <v>1297.93</v>
      </c>
      <c r="J744" s="32">
        <v>23362.74</v>
      </c>
      <c r="K744" s="29"/>
      <c r="M744" s="29"/>
      <c r="N744" s="29"/>
      <c r="P744" s="29"/>
      <c r="Q744" s="29"/>
      <c r="S744" s="29"/>
      <c r="T744" s="29"/>
      <c r="V744" s="29"/>
      <c r="X744" s="29"/>
      <c r="Y744" s="29"/>
      <c r="Z744" s="29"/>
    </row>
    <row r="745" spans="1:26" ht="15" thickBot="1">
      <c r="A745" s="49">
        <v>45047</v>
      </c>
      <c r="B745" s="29" t="s">
        <v>280</v>
      </c>
      <c r="C745" s="29" t="s">
        <v>249</v>
      </c>
      <c r="D745" s="29" t="s">
        <v>232</v>
      </c>
      <c r="E745" s="29" t="s">
        <v>6</v>
      </c>
      <c r="F745" s="29" t="s">
        <v>233</v>
      </c>
      <c r="G745" s="29" t="s">
        <v>301</v>
      </c>
      <c r="H745" s="32">
        <v>4</v>
      </c>
      <c r="I745" s="32">
        <v>4293.74</v>
      </c>
      <c r="J745" s="32">
        <v>17174.96</v>
      </c>
      <c r="K745" s="29"/>
      <c r="M745" s="29"/>
      <c r="N745" s="29"/>
      <c r="P745" s="29"/>
      <c r="Q745" s="29"/>
      <c r="S745" s="29"/>
      <c r="T745" s="29"/>
      <c r="V745" s="29"/>
      <c r="X745" s="29"/>
      <c r="Y745" s="29"/>
      <c r="Z745" s="29"/>
    </row>
    <row r="746" spans="1:26" ht="15" thickBot="1">
      <c r="A746" s="32" t="s">
        <v>475</v>
      </c>
      <c r="B746" s="29" t="s">
        <v>254</v>
      </c>
      <c r="C746" s="29" t="s">
        <v>313</v>
      </c>
      <c r="D746" s="29" t="s">
        <v>252</v>
      </c>
      <c r="E746" s="29" t="s">
        <v>5</v>
      </c>
      <c r="F746" s="29" t="s">
        <v>259</v>
      </c>
      <c r="G746" s="29" t="s">
        <v>179</v>
      </c>
      <c r="H746" s="32">
        <v>11</v>
      </c>
      <c r="I746" s="32">
        <v>2133.36</v>
      </c>
      <c r="J746" s="32">
        <v>23466.959999999999</v>
      </c>
      <c r="K746" s="29"/>
      <c r="M746" s="29"/>
      <c r="N746" s="29"/>
      <c r="P746" s="29"/>
      <c r="Q746" s="29"/>
      <c r="S746" s="29"/>
      <c r="T746" s="29"/>
      <c r="V746" s="29"/>
      <c r="X746" s="29"/>
      <c r="Y746" s="29"/>
      <c r="Z746" s="29"/>
    </row>
    <row r="747" spans="1:26" ht="15" thickBot="1">
      <c r="A747" s="32" t="s">
        <v>333</v>
      </c>
      <c r="B747" s="29" t="s">
        <v>230</v>
      </c>
      <c r="C747" s="29" t="s">
        <v>241</v>
      </c>
      <c r="D747" s="29" t="s">
        <v>242</v>
      </c>
      <c r="E747" s="29" t="s">
        <v>8</v>
      </c>
      <c r="F747" s="29" t="s">
        <v>250</v>
      </c>
      <c r="G747" s="29" t="s">
        <v>284</v>
      </c>
      <c r="H747" s="32">
        <v>11</v>
      </c>
      <c r="I747" s="32">
        <v>735.74</v>
      </c>
      <c r="J747" s="32">
        <v>8093.14</v>
      </c>
      <c r="K747" s="29"/>
      <c r="M747" s="29"/>
      <c r="N747" s="29"/>
      <c r="P747" s="29"/>
      <c r="Q747" s="29"/>
      <c r="S747" s="29"/>
      <c r="T747" s="29"/>
      <c r="V747" s="29"/>
      <c r="X747" s="29"/>
      <c r="Y747" s="29"/>
      <c r="Z747" s="29"/>
    </row>
    <row r="748" spans="1:26" ht="15" thickBot="1">
      <c r="A748" s="49">
        <v>45141</v>
      </c>
      <c r="B748" s="29" t="s">
        <v>240</v>
      </c>
      <c r="C748" s="29" t="s">
        <v>273</v>
      </c>
      <c r="D748" s="29" t="s">
        <v>252</v>
      </c>
      <c r="E748" s="29" t="s">
        <v>5</v>
      </c>
      <c r="F748" s="29" t="s">
        <v>245</v>
      </c>
      <c r="G748" s="29" t="s">
        <v>246</v>
      </c>
      <c r="H748" s="32">
        <v>14</v>
      </c>
      <c r="I748" s="32">
        <v>271.27</v>
      </c>
      <c r="J748" s="32">
        <v>3797.78</v>
      </c>
      <c r="K748" s="29"/>
      <c r="M748" s="29"/>
      <c r="N748" s="29"/>
      <c r="P748" s="29"/>
      <c r="Q748" s="29"/>
      <c r="S748" s="29"/>
      <c r="T748" s="29"/>
      <c r="V748" s="29"/>
      <c r="X748" s="29"/>
      <c r="Y748" s="29"/>
      <c r="Z748" s="29"/>
    </row>
    <row r="749" spans="1:26" ht="15" thickBot="1">
      <c r="A749" s="49">
        <v>45210</v>
      </c>
      <c r="B749" s="29" t="s">
        <v>240</v>
      </c>
      <c r="C749" s="29" t="s">
        <v>241</v>
      </c>
      <c r="D749" s="29" t="s">
        <v>242</v>
      </c>
      <c r="E749" s="29" t="s">
        <v>8</v>
      </c>
      <c r="F749" s="29" t="s">
        <v>233</v>
      </c>
      <c r="G749" s="29" t="s">
        <v>234</v>
      </c>
      <c r="H749" s="32">
        <v>5</v>
      </c>
      <c r="I749" s="32">
        <v>4759.1899999999996</v>
      </c>
      <c r="J749" s="32">
        <v>23795.95</v>
      </c>
      <c r="K749" s="29"/>
      <c r="M749" s="29"/>
      <c r="N749" s="29"/>
      <c r="P749" s="29"/>
      <c r="Q749" s="29"/>
      <c r="S749" s="29"/>
      <c r="T749" s="29"/>
      <c r="V749" s="29"/>
      <c r="X749" s="29"/>
      <c r="Y749" s="29"/>
      <c r="Z749" s="29"/>
    </row>
    <row r="750" spans="1:26" ht="15" thickBot="1">
      <c r="A750" s="49">
        <v>45211</v>
      </c>
      <c r="B750" s="29" t="s">
        <v>235</v>
      </c>
      <c r="C750" s="29" t="s">
        <v>261</v>
      </c>
      <c r="D750" s="29" t="s">
        <v>247</v>
      </c>
      <c r="E750" s="29" t="s">
        <v>6</v>
      </c>
      <c r="F750" s="29" t="s">
        <v>259</v>
      </c>
      <c r="G750" s="29" t="s">
        <v>182</v>
      </c>
      <c r="H750" s="32">
        <v>11</v>
      </c>
      <c r="I750" s="32">
        <v>941.97</v>
      </c>
      <c r="J750" s="32">
        <v>10361.67</v>
      </c>
      <c r="K750" s="29"/>
      <c r="M750" s="29"/>
      <c r="N750" s="29"/>
      <c r="P750" s="29"/>
      <c r="Q750" s="29"/>
      <c r="S750" s="29"/>
      <c r="T750" s="29"/>
      <c r="V750" s="29"/>
      <c r="X750" s="29"/>
      <c r="Y750" s="29"/>
      <c r="Z750" s="29"/>
    </row>
    <row r="751" spans="1:26" ht="15" thickBot="1">
      <c r="A751" s="49">
        <v>45238</v>
      </c>
      <c r="B751" s="29" t="s">
        <v>235</v>
      </c>
      <c r="C751" s="29" t="s">
        <v>244</v>
      </c>
      <c r="D751" s="29" t="s">
        <v>237</v>
      </c>
      <c r="E751" s="29" t="s">
        <v>8</v>
      </c>
      <c r="F751" s="29" t="s">
        <v>250</v>
      </c>
      <c r="G751" s="29" t="s">
        <v>293</v>
      </c>
      <c r="H751" s="32">
        <v>11</v>
      </c>
      <c r="I751" s="32">
        <v>2182.46</v>
      </c>
      <c r="J751" s="32">
        <v>24007.06</v>
      </c>
      <c r="K751" s="29"/>
      <c r="M751" s="29"/>
      <c r="N751" s="29"/>
      <c r="P751" s="29"/>
      <c r="Q751" s="29"/>
      <c r="S751" s="29"/>
      <c r="T751" s="29"/>
      <c r="V751" s="29"/>
      <c r="X751" s="29"/>
      <c r="Y751" s="29"/>
      <c r="Z751" s="29"/>
    </row>
    <row r="752" spans="1:26" ht="15" thickBot="1">
      <c r="A752" s="32" t="s">
        <v>462</v>
      </c>
      <c r="B752" s="29" t="s">
        <v>235</v>
      </c>
      <c r="C752" s="29" t="s">
        <v>249</v>
      </c>
      <c r="D752" s="29" t="s">
        <v>232</v>
      </c>
      <c r="E752" s="29" t="s">
        <v>6</v>
      </c>
      <c r="F752" s="29" t="s">
        <v>250</v>
      </c>
      <c r="G752" s="29" t="s">
        <v>284</v>
      </c>
      <c r="H752" s="32">
        <v>10</v>
      </c>
      <c r="I752" s="32">
        <v>2112.91</v>
      </c>
      <c r="J752" s="32">
        <v>21129.1</v>
      </c>
      <c r="K752" s="29"/>
      <c r="M752" s="29"/>
      <c r="N752" s="29"/>
      <c r="P752" s="29"/>
      <c r="Q752" s="29"/>
      <c r="S752" s="29"/>
      <c r="T752" s="29"/>
      <c r="V752" s="29"/>
      <c r="X752" s="29"/>
      <c r="Y752" s="29"/>
      <c r="Z752" s="29"/>
    </row>
    <row r="753" spans="1:26" ht="15" thickBot="1">
      <c r="A753" s="49">
        <v>45232</v>
      </c>
      <c r="B753" s="29" t="s">
        <v>248</v>
      </c>
      <c r="C753" s="29" t="s">
        <v>276</v>
      </c>
      <c r="D753" s="29" t="s">
        <v>247</v>
      </c>
      <c r="E753" s="29" t="s">
        <v>6</v>
      </c>
      <c r="F753" s="29" t="s">
        <v>245</v>
      </c>
      <c r="G753" s="29" t="s">
        <v>246</v>
      </c>
      <c r="H753" s="32">
        <v>13</v>
      </c>
      <c r="I753" s="32">
        <v>3495.08</v>
      </c>
      <c r="J753" s="32">
        <v>45436.04</v>
      </c>
      <c r="K753" s="29"/>
      <c r="M753" s="29"/>
      <c r="N753" s="29"/>
      <c r="P753" s="29"/>
      <c r="Q753" s="29"/>
      <c r="S753" s="29"/>
      <c r="T753" s="29"/>
      <c r="V753" s="29"/>
      <c r="X753" s="29"/>
      <c r="Y753" s="29"/>
      <c r="Z753" s="29"/>
    </row>
    <row r="754" spans="1:26" ht="15" thickBot="1">
      <c r="A754" s="49">
        <v>44932</v>
      </c>
      <c r="B754" s="29" t="s">
        <v>230</v>
      </c>
      <c r="C754" s="29" t="s">
        <v>281</v>
      </c>
      <c r="D754" s="29" t="s">
        <v>252</v>
      </c>
      <c r="E754" s="29" t="s">
        <v>5</v>
      </c>
      <c r="F754" s="29" t="s">
        <v>250</v>
      </c>
      <c r="G754" s="29" t="s">
        <v>251</v>
      </c>
      <c r="H754" s="32">
        <v>2</v>
      </c>
      <c r="I754" s="32">
        <v>3439.47</v>
      </c>
      <c r="J754" s="32">
        <v>6878.94</v>
      </c>
      <c r="K754" s="29"/>
      <c r="M754" s="29"/>
      <c r="N754" s="29"/>
      <c r="P754" s="29"/>
      <c r="Q754" s="29"/>
      <c r="S754" s="29"/>
      <c r="T754" s="29"/>
      <c r="V754" s="29"/>
      <c r="X754" s="29"/>
      <c r="Y754" s="29"/>
      <c r="Z754" s="29"/>
    </row>
    <row r="755" spans="1:26" ht="15" thickBot="1">
      <c r="A755" s="49">
        <v>45231</v>
      </c>
      <c r="B755" s="29" t="s">
        <v>240</v>
      </c>
      <c r="C755" s="29" t="s">
        <v>316</v>
      </c>
      <c r="D755" s="29" t="s">
        <v>247</v>
      </c>
      <c r="E755" s="29" t="s">
        <v>6</v>
      </c>
      <c r="F755" s="29" t="s">
        <v>233</v>
      </c>
      <c r="G755" s="29" t="s">
        <v>234</v>
      </c>
      <c r="H755" s="32">
        <v>20</v>
      </c>
      <c r="I755" s="32">
        <v>3279.25</v>
      </c>
      <c r="J755" s="32">
        <v>65585</v>
      </c>
      <c r="K755" s="29"/>
      <c r="M755" s="29"/>
      <c r="N755" s="29"/>
      <c r="P755" s="29"/>
      <c r="Q755" s="29"/>
      <c r="S755" s="29"/>
      <c r="T755" s="29"/>
      <c r="V755" s="29"/>
      <c r="X755" s="29"/>
      <c r="Y755" s="29"/>
      <c r="Z755" s="29"/>
    </row>
    <row r="756" spans="1:26" ht="15" thickBot="1">
      <c r="A756" s="49">
        <v>44928</v>
      </c>
      <c r="B756" s="29" t="s">
        <v>240</v>
      </c>
      <c r="C756" s="29" t="s">
        <v>313</v>
      </c>
      <c r="D756" s="29" t="s">
        <v>252</v>
      </c>
      <c r="E756" s="29" t="s">
        <v>5</v>
      </c>
      <c r="F756" s="29" t="s">
        <v>233</v>
      </c>
      <c r="G756" s="29" t="s">
        <v>287</v>
      </c>
      <c r="H756" s="32">
        <v>16</v>
      </c>
      <c r="I756" s="32">
        <v>3320.8</v>
      </c>
      <c r="J756" s="32">
        <v>53132.800000000003</v>
      </c>
      <c r="K756" s="29"/>
      <c r="M756" s="29"/>
      <c r="N756" s="29"/>
      <c r="P756" s="29"/>
      <c r="Q756" s="29"/>
      <c r="S756" s="29"/>
      <c r="T756" s="29"/>
      <c r="V756" s="29"/>
      <c r="X756" s="29"/>
      <c r="Y756" s="29"/>
      <c r="Z756" s="29"/>
    </row>
    <row r="757" spans="1:26" ht="15" thickBot="1">
      <c r="A757" s="32" t="s">
        <v>408</v>
      </c>
      <c r="B757" s="29" t="s">
        <v>240</v>
      </c>
      <c r="C757" s="29" t="s">
        <v>274</v>
      </c>
      <c r="D757" s="29" t="s">
        <v>232</v>
      </c>
      <c r="E757" s="29" t="s">
        <v>6</v>
      </c>
      <c r="F757" s="29" t="s">
        <v>245</v>
      </c>
      <c r="G757" s="29" t="s">
        <v>295</v>
      </c>
      <c r="H757" s="32">
        <v>6</v>
      </c>
      <c r="I757" s="32">
        <v>4105.1899999999996</v>
      </c>
      <c r="J757" s="32">
        <v>24631.14</v>
      </c>
      <c r="K757" s="29"/>
      <c r="M757" s="29"/>
      <c r="N757" s="29"/>
      <c r="P757" s="29"/>
      <c r="Q757" s="29"/>
      <c r="S757" s="29"/>
      <c r="T757" s="29"/>
      <c r="V757" s="29"/>
      <c r="X757" s="29"/>
      <c r="Y757" s="29"/>
      <c r="Z757" s="29"/>
    </row>
    <row r="758" spans="1:26" ht="15" thickBot="1">
      <c r="A758" s="32" t="s">
        <v>470</v>
      </c>
      <c r="B758" s="29" t="s">
        <v>260</v>
      </c>
      <c r="C758" s="29" t="s">
        <v>281</v>
      </c>
      <c r="D758" s="29" t="s">
        <v>252</v>
      </c>
      <c r="E758" s="29" t="s">
        <v>5</v>
      </c>
      <c r="F758" s="29" t="s">
        <v>250</v>
      </c>
      <c r="G758" s="29" t="s">
        <v>277</v>
      </c>
      <c r="H758" s="32">
        <v>7</v>
      </c>
      <c r="I758" s="32">
        <v>1830.46</v>
      </c>
      <c r="J758" s="32">
        <v>12813.22</v>
      </c>
      <c r="K758" s="29"/>
      <c r="M758" s="29"/>
      <c r="N758" s="29"/>
      <c r="P758" s="29"/>
      <c r="Q758" s="29"/>
      <c r="S758" s="29"/>
      <c r="T758" s="29"/>
      <c r="V758" s="29"/>
      <c r="X758" s="29"/>
      <c r="Y758" s="29"/>
      <c r="Z758" s="29"/>
    </row>
    <row r="759" spans="1:26" ht="15" thickBot="1">
      <c r="A759" s="32" t="s">
        <v>476</v>
      </c>
      <c r="B759" s="29" t="s">
        <v>235</v>
      </c>
      <c r="C759" s="29" t="s">
        <v>281</v>
      </c>
      <c r="D759" s="29" t="s">
        <v>252</v>
      </c>
      <c r="E759" s="29" t="s">
        <v>5</v>
      </c>
      <c r="F759" s="29" t="s">
        <v>238</v>
      </c>
      <c r="G759" s="29" t="s">
        <v>303</v>
      </c>
      <c r="H759" s="32">
        <v>19</v>
      </c>
      <c r="I759" s="32">
        <v>3901.75</v>
      </c>
      <c r="J759" s="32">
        <v>74133.25</v>
      </c>
      <c r="K759" s="29"/>
      <c r="M759" s="29"/>
      <c r="N759" s="29"/>
      <c r="P759" s="29"/>
      <c r="Q759" s="29"/>
      <c r="S759" s="29"/>
      <c r="T759" s="29"/>
      <c r="V759" s="29"/>
      <c r="X759" s="29"/>
      <c r="Y759" s="29"/>
      <c r="Z759" s="29"/>
    </row>
    <row r="760" spans="1:26" ht="15" thickBot="1">
      <c r="A760" s="32" t="s">
        <v>477</v>
      </c>
      <c r="B760" s="29" t="s">
        <v>235</v>
      </c>
      <c r="C760" s="29" t="s">
        <v>236</v>
      </c>
      <c r="D760" s="29" t="s">
        <v>237</v>
      </c>
      <c r="E760" s="29" t="s">
        <v>8</v>
      </c>
      <c r="F760" s="29" t="s">
        <v>250</v>
      </c>
      <c r="G760" s="29" t="s">
        <v>251</v>
      </c>
      <c r="H760" s="32">
        <v>10</v>
      </c>
      <c r="I760" s="32">
        <v>3031.91</v>
      </c>
      <c r="J760" s="32">
        <v>30319.1</v>
      </c>
      <c r="K760" s="29"/>
      <c r="M760" s="29"/>
      <c r="N760" s="29"/>
      <c r="P760" s="29"/>
      <c r="Q760" s="29"/>
      <c r="S760" s="29"/>
      <c r="T760" s="29"/>
      <c r="V760" s="29"/>
      <c r="X760" s="29"/>
      <c r="Y760" s="29"/>
      <c r="Z760" s="29"/>
    </row>
    <row r="761" spans="1:26" ht="15" thickBot="1">
      <c r="A761" s="49">
        <v>45116</v>
      </c>
      <c r="B761" s="29" t="s">
        <v>257</v>
      </c>
      <c r="C761" s="29" t="s">
        <v>231</v>
      </c>
      <c r="D761" s="29" t="s">
        <v>232</v>
      </c>
      <c r="E761" s="29" t="s">
        <v>6</v>
      </c>
      <c r="F761" s="29" t="s">
        <v>238</v>
      </c>
      <c r="G761" s="29" t="s">
        <v>239</v>
      </c>
      <c r="H761" s="32">
        <v>18</v>
      </c>
      <c r="I761" s="32">
        <v>3575.04</v>
      </c>
      <c r="J761" s="32">
        <v>64350.720000000001</v>
      </c>
      <c r="K761" s="29"/>
      <c r="M761" s="29"/>
      <c r="N761" s="29"/>
      <c r="P761" s="29"/>
      <c r="Q761" s="29"/>
      <c r="S761" s="29"/>
      <c r="T761" s="29"/>
      <c r="V761" s="29"/>
      <c r="X761" s="29"/>
      <c r="Y761" s="29"/>
      <c r="Z761" s="29"/>
    </row>
    <row r="762" spans="1:26" ht="15" thickBot="1">
      <c r="A762" s="49">
        <v>44935</v>
      </c>
      <c r="B762" s="29" t="s">
        <v>260</v>
      </c>
      <c r="C762" s="29" t="s">
        <v>241</v>
      </c>
      <c r="D762" s="29" t="s">
        <v>242</v>
      </c>
      <c r="E762" s="29" t="s">
        <v>8</v>
      </c>
      <c r="F762" s="29" t="s">
        <v>250</v>
      </c>
      <c r="G762" s="29" t="s">
        <v>284</v>
      </c>
      <c r="H762" s="32">
        <v>17</v>
      </c>
      <c r="I762" s="32">
        <v>2920.06</v>
      </c>
      <c r="J762" s="32">
        <v>49641.02</v>
      </c>
      <c r="K762" s="29"/>
      <c r="M762" s="29"/>
      <c r="N762" s="29"/>
      <c r="P762" s="29"/>
      <c r="Q762" s="29"/>
      <c r="S762" s="29"/>
      <c r="T762" s="29"/>
      <c r="V762" s="29"/>
      <c r="X762" s="29"/>
      <c r="Y762" s="29"/>
      <c r="Z762" s="29"/>
    </row>
    <row r="763" spans="1:26" ht="15" thickBot="1">
      <c r="A763" s="32" t="s">
        <v>467</v>
      </c>
      <c r="B763" s="29" t="s">
        <v>268</v>
      </c>
      <c r="C763" s="29" t="s">
        <v>249</v>
      </c>
      <c r="D763" s="29" t="s">
        <v>232</v>
      </c>
      <c r="E763" s="29" t="s">
        <v>6</v>
      </c>
      <c r="F763" s="29" t="s">
        <v>259</v>
      </c>
      <c r="G763" s="29" t="s">
        <v>299</v>
      </c>
      <c r="H763" s="32">
        <v>15</v>
      </c>
      <c r="I763" s="32">
        <v>2796.48</v>
      </c>
      <c r="J763" s="32">
        <v>41947.199999999997</v>
      </c>
      <c r="K763" s="29"/>
      <c r="M763" s="29"/>
      <c r="N763" s="29"/>
      <c r="P763" s="29"/>
      <c r="Q763" s="29"/>
      <c r="S763" s="29"/>
      <c r="T763" s="29"/>
      <c r="V763" s="29"/>
      <c r="X763" s="29"/>
      <c r="Y763" s="29"/>
      <c r="Z763" s="29"/>
    </row>
    <row r="764" spans="1:26" ht="15" thickBot="1">
      <c r="A764" s="32" t="s">
        <v>478</v>
      </c>
      <c r="B764" s="29" t="s">
        <v>254</v>
      </c>
      <c r="C764" s="29" t="s">
        <v>255</v>
      </c>
      <c r="D764" s="29" t="s">
        <v>237</v>
      </c>
      <c r="E764" s="29" t="s">
        <v>8</v>
      </c>
      <c r="F764" s="29" t="s">
        <v>259</v>
      </c>
      <c r="G764" s="29" t="s">
        <v>182</v>
      </c>
      <c r="H764" s="32">
        <v>1</v>
      </c>
      <c r="I764" s="32">
        <v>2918.29</v>
      </c>
      <c r="J764" s="32">
        <v>2918.29</v>
      </c>
      <c r="K764" s="29"/>
      <c r="M764" s="29"/>
      <c r="N764" s="29"/>
      <c r="P764" s="29"/>
      <c r="Q764" s="29"/>
      <c r="S764" s="29"/>
      <c r="T764" s="29"/>
      <c r="V764" s="29"/>
      <c r="X764" s="29"/>
      <c r="Y764" s="29"/>
      <c r="Z764" s="29"/>
    </row>
    <row r="765" spans="1:26" ht="15" thickBot="1">
      <c r="A765" s="32" t="s">
        <v>479</v>
      </c>
      <c r="B765" s="29" t="s">
        <v>260</v>
      </c>
      <c r="C765" s="29" t="s">
        <v>261</v>
      </c>
      <c r="D765" s="29" t="s">
        <v>247</v>
      </c>
      <c r="E765" s="29" t="s">
        <v>6</v>
      </c>
      <c r="F765" s="29" t="s">
        <v>233</v>
      </c>
      <c r="G765" s="29" t="s">
        <v>287</v>
      </c>
      <c r="H765" s="32">
        <v>10</v>
      </c>
      <c r="I765" s="32">
        <v>1097.83</v>
      </c>
      <c r="J765" s="32">
        <v>10978.3</v>
      </c>
      <c r="K765" s="29"/>
      <c r="M765" s="29"/>
      <c r="N765" s="29"/>
      <c r="P765" s="29"/>
      <c r="Q765" s="29"/>
      <c r="S765" s="29"/>
      <c r="T765" s="29"/>
      <c r="V765" s="29"/>
      <c r="X765" s="29"/>
      <c r="Y765" s="29"/>
      <c r="Z765" s="29"/>
    </row>
    <row r="766" spans="1:26" ht="15" thickBot="1">
      <c r="A766" s="49">
        <v>45262</v>
      </c>
      <c r="B766" s="29" t="s">
        <v>230</v>
      </c>
      <c r="C766" s="29" t="s">
        <v>249</v>
      </c>
      <c r="D766" s="29" t="s">
        <v>232</v>
      </c>
      <c r="E766" s="29" t="s">
        <v>6</v>
      </c>
      <c r="F766" s="29" t="s">
        <v>245</v>
      </c>
      <c r="G766" s="29" t="s">
        <v>269</v>
      </c>
      <c r="H766" s="32">
        <v>10</v>
      </c>
      <c r="I766" s="32">
        <v>3391.5</v>
      </c>
      <c r="J766" s="32">
        <v>33915</v>
      </c>
      <c r="K766" s="29"/>
      <c r="M766" s="29"/>
      <c r="N766" s="29"/>
      <c r="P766" s="29"/>
      <c r="Q766" s="29"/>
      <c r="S766" s="29"/>
      <c r="T766" s="29"/>
      <c r="V766" s="29"/>
      <c r="X766" s="29"/>
      <c r="Y766" s="29"/>
      <c r="Z766" s="29"/>
    </row>
    <row r="767" spans="1:26" ht="15" thickBot="1">
      <c r="A767" s="49">
        <v>45176</v>
      </c>
      <c r="B767" s="29" t="s">
        <v>271</v>
      </c>
      <c r="C767" s="29" t="s">
        <v>313</v>
      </c>
      <c r="D767" s="29" t="s">
        <v>252</v>
      </c>
      <c r="E767" s="29" t="s">
        <v>5</v>
      </c>
      <c r="F767" s="29" t="s">
        <v>250</v>
      </c>
      <c r="G767" s="29" t="s">
        <v>284</v>
      </c>
      <c r="H767" s="32">
        <v>13</v>
      </c>
      <c r="I767" s="32">
        <v>2225.88</v>
      </c>
      <c r="J767" s="32">
        <v>28936.44</v>
      </c>
      <c r="K767" s="29"/>
      <c r="M767" s="29"/>
      <c r="N767" s="29"/>
      <c r="P767" s="29"/>
      <c r="Q767" s="29"/>
      <c r="S767" s="29"/>
      <c r="T767" s="29"/>
      <c r="V767" s="29"/>
      <c r="X767" s="29"/>
      <c r="Y767" s="29"/>
      <c r="Z767" s="29"/>
    </row>
    <row r="768" spans="1:26" ht="15" thickBot="1">
      <c r="A768" s="49">
        <v>45058</v>
      </c>
      <c r="B768" s="29" t="s">
        <v>257</v>
      </c>
      <c r="C768" s="29" t="s">
        <v>274</v>
      </c>
      <c r="D768" s="29" t="s">
        <v>232</v>
      </c>
      <c r="E768" s="29" t="s">
        <v>6</v>
      </c>
      <c r="F768" s="29" t="s">
        <v>245</v>
      </c>
      <c r="G768" s="29" t="s">
        <v>269</v>
      </c>
      <c r="H768" s="32">
        <v>2</v>
      </c>
      <c r="I768" s="32">
        <v>1559.76</v>
      </c>
      <c r="J768" s="32">
        <v>3119.52</v>
      </c>
      <c r="K768" s="29"/>
      <c r="M768" s="29"/>
      <c r="N768" s="29"/>
      <c r="P768" s="29"/>
      <c r="Q768" s="29"/>
      <c r="S768" s="29"/>
      <c r="T768" s="29"/>
      <c r="V768" s="29"/>
      <c r="X768" s="29"/>
      <c r="Y768" s="29"/>
      <c r="Z768" s="29"/>
    </row>
    <row r="769" spans="1:26" ht="15" thickBot="1">
      <c r="A769" s="32" t="s">
        <v>358</v>
      </c>
      <c r="B769" s="29" t="s">
        <v>240</v>
      </c>
      <c r="C769" s="29" t="s">
        <v>316</v>
      </c>
      <c r="D769" s="29" t="s">
        <v>247</v>
      </c>
      <c r="E769" s="29" t="s">
        <v>6</v>
      </c>
      <c r="F769" s="29" t="s">
        <v>250</v>
      </c>
      <c r="G769" s="29" t="s">
        <v>277</v>
      </c>
      <c r="H769" s="32">
        <v>13</v>
      </c>
      <c r="I769" s="32">
        <v>4719.96</v>
      </c>
      <c r="J769" s="32">
        <v>61359.48</v>
      </c>
      <c r="K769" s="29"/>
      <c r="M769" s="29"/>
      <c r="N769" s="29"/>
      <c r="P769" s="29"/>
      <c r="Q769" s="29"/>
      <c r="S769" s="29"/>
      <c r="T769" s="29"/>
      <c r="V769" s="29"/>
      <c r="X769" s="29"/>
      <c r="Y769" s="29"/>
      <c r="Z769" s="29"/>
    </row>
    <row r="770" spans="1:26" ht="15" thickBot="1">
      <c r="A770" s="32" t="s">
        <v>480</v>
      </c>
      <c r="B770" s="29" t="s">
        <v>280</v>
      </c>
      <c r="C770" s="29" t="s">
        <v>241</v>
      </c>
      <c r="D770" s="29" t="s">
        <v>242</v>
      </c>
      <c r="E770" s="29" t="s">
        <v>8</v>
      </c>
      <c r="F770" s="29" t="s">
        <v>238</v>
      </c>
      <c r="G770" s="29" t="s">
        <v>256</v>
      </c>
      <c r="H770" s="32">
        <v>5</v>
      </c>
      <c r="I770" s="32">
        <v>1593.02</v>
      </c>
      <c r="J770" s="32">
        <v>7965.1</v>
      </c>
      <c r="K770" s="29"/>
      <c r="M770" s="29"/>
      <c r="N770" s="29"/>
      <c r="P770" s="29"/>
      <c r="Q770" s="29"/>
      <c r="S770" s="29"/>
      <c r="T770" s="29"/>
      <c r="V770" s="29"/>
      <c r="X770" s="29"/>
      <c r="Y770" s="29"/>
      <c r="Z770" s="29"/>
    </row>
    <row r="771" spans="1:26" ht="15" thickBot="1">
      <c r="A771" s="32" t="s">
        <v>306</v>
      </c>
      <c r="B771" s="29" t="s">
        <v>254</v>
      </c>
      <c r="C771" s="29" t="s">
        <v>255</v>
      </c>
      <c r="D771" s="29" t="s">
        <v>237</v>
      </c>
      <c r="E771" s="29" t="s">
        <v>8</v>
      </c>
      <c r="F771" s="29" t="s">
        <v>245</v>
      </c>
      <c r="G771" s="29" t="s">
        <v>246</v>
      </c>
      <c r="H771" s="32">
        <v>7</v>
      </c>
      <c r="I771" s="32">
        <v>1233.6300000000001</v>
      </c>
      <c r="J771" s="32">
        <v>8635.41</v>
      </c>
      <c r="K771" s="29"/>
      <c r="M771" s="29"/>
      <c r="N771" s="29"/>
      <c r="P771" s="29"/>
      <c r="Q771" s="29"/>
      <c r="S771" s="29"/>
      <c r="T771" s="29"/>
      <c r="V771" s="29"/>
      <c r="X771" s="29"/>
      <c r="Y771" s="29"/>
      <c r="Z771" s="29"/>
    </row>
    <row r="772" spans="1:26" ht="15" thickBot="1">
      <c r="A772" s="32" t="s">
        <v>351</v>
      </c>
      <c r="B772" s="29" t="s">
        <v>248</v>
      </c>
      <c r="C772" s="29" t="s">
        <v>244</v>
      </c>
      <c r="D772" s="29" t="s">
        <v>237</v>
      </c>
      <c r="E772" s="29" t="s">
        <v>8</v>
      </c>
      <c r="F772" s="29" t="s">
        <v>259</v>
      </c>
      <c r="G772" s="29" t="s">
        <v>298</v>
      </c>
      <c r="H772" s="32">
        <v>2</v>
      </c>
      <c r="I772" s="32">
        <v>2261.69</v>
      </c>
      <c r="J772" s="32">
        <v>4523.38</v>
      </c>
      <c r="K772" s="29"/>
      <c r="M772" s="29"/>
      <c r="N772" s="29"/>
      <c r="P772" s="29"/>
      <c r="Q772" s="29"/>
      <c r="S772" s="29"/>
      <c r="T772" s="29"/>
      <c r="V772" s="29"/>
      <c r="X772" s="29"/>
      <c r="Y772" s="29"/>
      <c r="Z772" s="29"/>
    </row>
    <row r="773" spans="1:26" ht="15" thickBot="1">
      <c r="A773" s="49">
        <v>45235</v>
      </c>
      <c r="B773" s="29" t="s">
        <v>260</v>
      </c>
      <c r="C773" s="29" t="s">
        <v>236</v>
      </c>
      <c r="D773" s="29" t="s">
        <v>237</v>
      </c>
      <c r="E773" s="29" t="s">
        <v>8</v>
      </c>
      <c r="F773" s="29" t="s">
        <v>250</v>
      </c>
      <c r="G773" s="29" t="s">
        <v>284</v>
      </c>
      <c r="H773" s="32">
        <v>15</v>
      </c>
      <c r="I773" s="32">
        <v>1197.31</v>
      </c>
      <c r="J773" s="32">
        <v>17959.650000000001</v>
      </c>
      <c r="K773" s="29"/>
      <c r="M773" s="29"/>
      <c r="N773" s="29"/>
      <c r="P773" s="29"/>
      <c r="Q773" s="29"/>
      <c r="S773" s="29"/>
      <c r="T773" s="29"/>
      <c r="V773" s="29"/>
      <c r="X773" s="29"/>
      <c r="Y773" s="29"/>
      <c r="Z773" s="29"/>
    </row>
    <row r="774" spans="1:26" ht="15" thickBot="1">
      <c r="A774" s="49">
        <v>45173</v>
      </c>
      <c r="B774" s="29" t="s">
        <v>235</v>
      </c>
      <c r="C774" s="29" t="s">
        <v>258</v>
      </c>
      <c r="D774" s="29" t="s">
        <v>242</v>
      </c>
      <c r="E774" s="29" t="s">
        <v>8</v>
      </c>
      <c r="F774" s="29" t="s">
        <v>238</v>
      </c>
      <c r="G774" s="29" t="s">
        <v>256</v>
      </c>
      <c r="H774" s="32">
        <v>9</v>
      </c>
      <c r="I774" s="32">
        <v>3441.09</v>
      </c>
      <c r="J774" s="32">
        <v>30969.81</v>
      </c>
      <c r="K774" s="29"/>
      <c r="M774" s="29"/>
      <c r="N774" s="29"/>
      <c r="P774" s="29"/>
      <c r="Q774" s="29"/>
      <c r="S774" s="29"/>
      <c r="T774" s="29"/>
      <c r="V774" s="29"/>
      <c r="X774" s="29"/>
      <c r="Y774" s="29"/>
      <c r="Z774" s="29"/>
    </row>
    <row r="775" spans="1:26" ht="15" thickBot="1">
      <c r="A775" s="32" t="s">
        <v>424</v>
      </c>
      <c r="B775" s="29" t="s">
        <v>235</v>
      </c>
      <c r="C775" s="29" t="s">
        <v>313</v>
      </c>
      <c r="D775" s="29" t="s">
        <v>252</v>
      </c>
      <c r="E775" s="29" t="s">
        <v>5</v>
      </c>
      <c r="F775" s="29" t="s">
        <v>233</v>
      </c>
      <c r="G775" s="29" t="s">
        <v>301</v>
      </c>
      <c r="H775" s="32">
        <v>2</v>
      </c>
      <c r="I775" s="32">
        <v>3325.99</v>
      </c>
      <c r="J775" s="32">
        <v>6651.98</v>
      </c>
      <c r="K775" s="29"/>
      <c r="M775" s="29"/>
      <c r="N775" s="29"/>
      <c r="P775" s="29"/>
      <c r="Q775" s="29"/>
      <c r="S775" s="29"/>
      <c r="T775" s="29"/>
      <c r="V775" s="29"/>
      <c r="X775" s="29"/>
      <c r="Y775" s="29"/>
      <c r="Z775" s="29"/>
    </row>
    <row r="776" spans="1:26" ht="15" thickBot="1">
      <c r="A776" s="32" t="s">
        <v>446</v>
      </c>
      <c r="B776" s="29" t="s">
        <v>280</v>
      </c>
      <c r="C776" s="29" t="s">
        <v>249</v>
      </c>
      <c r="D776" s="29" t="s">
        <v>232</v>
      </c>
      <c r="E776" s="29" t="s">
        <v>6</v>
      </c>
      <c r="F776" s="29" t="s">
        <v>245</v>
      </c>
      <c r="G776" s="29" t="s">
        <v>246</v>
      </c>
      <c r="H776" s="32">
        <v>2</v>
      </c>
      <c r="I776" s="32">
        <v>991.8</v>
      </c>
      <c r="J776" s="32">
        <v>1983.6</v>
      </c>
      <c r="K776" s="29"/>
      <c r="M776" s="29"/>
      <c r="N776" s="29"/>
      <c r="P776" s="29"/>
      <c r="Q776" s="29"/>
      <c r="S776" s="29"/>
      <c r="T776" s="29"/>
      <c r="V776" s="29"/>
      <c r="X776" s="29"/>
      <c r="Y776" s="29"/>
      <c r="Z776" s="29"/>
    </row>
    <row r="777" spans="1:26" ht="15" thickBot="1">
      <c r="A777" s="32" t="s">
        <v>468</v>
      </c>
      <c r="B777" s="29" t="s">
        <v>271</v>
      </c>
      <c r="C777" s="29" t="s">
        <v>313</v>
      </c>
      <c r="D777" s="29" t="s">
        <v>252</v>
      </c>
      <c r="E777" s="29" t="s">
        <v>5</v>
      </c>
      <c r="F777" s="29" t="s">
        <v>250</v>
      </c>
      <c r="G777" s="29" t="s">
        <v>251</v>
      </c>
      <c r="H777" s="32">
        <v>9</v>
      </c>
      <c r="I777" s="32">
        <v>4763.01</v>
      </c>
      <c r="J777" s="32">
        <v>42867.09</v>
      </c>
      <c r="K777" s="29"/>
      <c r="M777" s="29"/>
      <c r="N777" s="29"/>
      <c r="P777" s="29"/>
      <c r="Q777" s="29"/>
      <c r="S777" s="29"/>
      <c r="T777" s="29"/>
      <c r="V777" s="29"/>
      <c r="X777" s="29"/>
      <c r="Y777" s="29"/>
      <c r="Z777" s="29"/>
    </row>
    <row r="778" spans="1:26" ht="15" thickBot="1">
      <c r="A778" s="32" t="s">
        <v>354</v>
      </c>
      <c r="B778" s="29" t="s">
        <v>268</v>
      </c>
      <c r="C778" s="29" t="s">
        <v>316</v>
      </c>
      <c r="D778" s="29" t="s">
        <v>247</v>
      </c>
      <c r="E778" s="29" t="s">
        <v>6</v>
      </c>
      <c r="F778" s="29" t="s">
        <v>245</v>
      </c>
      <c r="G778" s="29" t="s">
        <v>295</v>
      </c>
      <c r="H778" s="32">
        <v>8</v>
      </c>
      <c r="I778" s="32">
        <v>826.71</v>
      </c>
      <c r="J778" s="32">
        <v>6613.68</v>
      </c>
      <c r="K778" s="29"/>
      <c r="M778" s="29"/>
      <c r="N778" s="29"/>
      <c r="P778" s="29"/>
      <c r="Q778" s="29"/>
      <c r="S778" s="29"/>
      <c r="T778" s="29"/>
      <c r="V778" s="29"/>
      <c r="X778" s="29"/>
      <c r="Y778" s="29"/>
      <c r="Z778" s="29"/>
    </row>
    <row r="779" spans="1:26" ht="15" thickBot="1">
      <c r="A779" s="32" t="s">
        <v>262</v>
      </c>
      <c r="B779" s="29" t="s">
        <v>230</v>
      </c>
      <c r="C779" s="29" t="s">
        <v>241</v>
      </c>
      <c r="D779" s="29" t="s">
        <v>242</v>
      </c>
      <c r="E779" s="29" t="s">
        <v>8</v>
      </c>
      <c r="F779" s="29" t="s">
        <v>250</v>
      </c>
      <c r="G779" s="29" t="s">
        <v>293</v>
      </c>
      <c r="H779" s="32">
        <v>9</v>
      </c>
      <c r="I779" s="32">
        <v>209.57</v>
      </c>
      <c r="J779" s="32">
        <v>1886.13</v>
      </c>
      <c r="K779" s="29"/>
      <c r="M779" s="29"/>
      <c r="N779" s="29"/>
      <c r="P779" s="29"/>
      <c r="Q779" s="29"/>
      <c r="S779" s="29"/>
      <c r="T779" s="29"/>
      <c r="V779" s="29"/>
      <c r="X779" s="29"/>
      <c r="Y779" s="29"/>
      <c r="Z779" s="29"/>
    </row>
    <row r="780" spans="1:26" ht="15" thickBot="1">
      <c r="A780" s="32" t="s">
        <v>395</v>
      </c>
      <c r="B780" s="29" t="s">
        <v>254</v>
      </c>
      <c r="C780" s="29" t="s">
        <v>241</v>
      </c>
      <c r="D780" s="29" t="s">
        <v>242</v>
      </c>
      <c r="E780" s="29" t="s">
        <v>8</v>
      </c>
      <c r="F780" s="29" t="s">
        <v>259</v>
      </c>
      <c r="G780" s="29" t="s">
        <v>179</v>
      </c>
      <c r="H780" s="32">
        <v>7</v>
      </c>
      <c r="I780" s="32">
        <v>2538.4299999999998</v>
      </c>
      <c r="J780" s="32">
        <v>17769.009999999998</v>
      </c>
      <c r="K780" s="29"/>
      <c r="M780" s="29"/>
      <c r="N780" s="29"/>
      <c r="P780" s="29"/>
      <c r="Q780" s="29"/>
      <c r="S780" s="29"/>
      <c r="T780" s="29"/>
      <c r="V780" s="29"/>
      <c r="X780" s="29"/>
      <c r="Y780" s="29"/>
      <c r="Z780" s="29"/>
    </row>
    <row r="781" spans="1:26" ht="15" thickBot="1">
      <c r="A781" s="32" t="s">
        <v>436</v>
      </c>
      <c r="B781" s="29" t="s">
        <v>248</v>
      </c>
      <c r="C781" s="29" t="s">
        <v>276</v>
      </c>
      <c r="D781" s="29" t="s">
        <v>247</v>
      </c>
      <c r="E781" s="29" t="s">
        <v>6</v>
      </c>
      <c r="F781" s="29" t="s">
        <v>250</v>
      </c>
      <c r="G781" s="29" t="s">
        <v>284</v>
      </c>
      <c r="H781" s="32">
        <v>7</v>
      </c>
      <c r="I781" s="32">
        <v>4116.9799999999996</v>
      </c>
      <c r="J781" s="32">
        <v>28818.86</v>
      </c>
      <c r="K781" s="29"/>
      <c r="M781" s="29"/>
      <c r="N781" s="29"/>
      <c r="P781" s="29"/>
      <c r="Q781" s="29"/>
      <c r="S781" s="29"/>
      <c r="T781" s="29"/>
      <c r="V781" s="29"/>
      <c r="X781" s="29"/>
      <c r="Y781" s="29"/>
      <c r="Z781" s="29"/>
    </row>
    <row r="782" spans="1:26" ht="15" thickBot="1">
      <c r="A782" s="49">
        <v>44933</v>
      </c>
      <c r="B782" s="29" t="s">
        <v>235</v>
      </c>
      <c r="C782" s="29" t="s">
        <v>274</v>
      </c>
      <c r="D782" s="29" t="s">
        <v>232</v>
      </c>
      <c r="E782" s="29" t="s">
        <v>6</v>
      </c>
      <c r="F782" s="29" t="s">
        <v>259</v>
      </c>
      <c r="G782" s="29" t="s">
        <v>182</v>
      </c>
      <c r="H782" s="32">
        <v>20</v>
      </c>
      <c r="I782" s="32">
        <v>3638.01</v>
      </c>
      <c r="J782" s="32">
        <v>72760.2</v>
      </c>
      <c r="K782" s="29"/>
      <c r="M782" s="29"/>
      <c r="N782" s="29"/>
      <c r="P782" s="29"/>
      <c r="Q782" s="29"/>
      <c r="S782" s="29"/>
      <c r="T782" s="29"/>
      <c r="V782" s="29"/>
      <c r="X782" s="29"/>
      <c r="Y782" s="29"/>
      <c r="Z782" s="29"/>
    </row>
    <row r="783" spans="1:26" ht="15" thickBot="1">
      <c r="A783" s="32" t="s">
        <v>476</v>
      </c>
      <c r="B783" s="29" t="s">
        <v>280</v>
      </c>
      <c r="C783" s="29" t="s">
        <v>273</v>
      </c>
      <c r="D783" s="29" t="s">
        <v>252</v>
      </c>
      <c r="E783" s="29" t="s">
        <v>5</v>
      </c>
      <c r="F783" s="29" t="s">
        <v>233</v>
      </c>
      <c r="G783" s="29" t="s">
        <v>301</v>
      </c>
      <c r="H783" s="32">
        <v>8</v>
      </c>
      <c r="I783" s="32">
        <v>4523.4399999999996</v>
      </c>
      <c r="J783" s="32">
        <v>36187.519999999997</v>
      </c>
      <c r="K783" s="29"/>
      <c r="M783" s="29"/>
      <c r="N783" s="29"/>
      <c r="P783" s="29"/>
      <c r="Q783" s="29"/>
      <c r="S783" s="29"/>
      <c r="T783" s="29"/>
      <c r="V783" s="29"/>
      <c r="X783" s="29"/>
      <c r="Y783" s="29"/>
      <c r="Z783" s="29"/>
    </row>
    <row r="784" spans="1:26" ht="15" thickBot="1">
      <c r="A784" s="32" t="s">
        <v>472</v>
      </c>
      <c r="B784" s="29" t="s">
        <v>248</v>
      </c>
      <c r="C784" s="29" t="s">
        <v>313</v>
      </c>
      <c r="D784" s="29" t="s">
        <v>252</v>
      </c>
      <c r="E784" s="29" t="s">
        <v>5</v>
      </c>
      <c r="F784" s="29" t="s">
        <v>233</v>
      </c>
      <c r="G784" s="29" t="s">
        <v>287</v>
      </c>
      <c r="H784" s="32">
        <v>17</v>
      </c>
      <c r="I784" s="32">
        <v>2042</v>
      </c>
      <c r="J784" s="32">
        <v>34714</v>
      </c>
      <c r="K784" s="29"/>
      <c r="M784" s="29"/>
      <c r="N784" s="29"/>
      <c r="P784" s="29"/>
      <c r="Q784" s="29"/>
      <c r="S784" s="29"/>
      <c r="T784" s="29"/>
      <c r="V784" s="29"/>
      <c r="X784" s="29"/>
      <c r="Y784" s="29"/>
      <c r="Z784" s="29"/>
    </row>
    <row r="785" spans="1:26" ht="15" thickBot="1">
      <c r="A785" s="32" t="s">
        <v>346</v>
      </c>
      <c r="B785" s="29" t="s">
        <v>280</v>
      </c>
      <c r="C785" s="29" t="s">
        <v>244</v>
      </c>
      <c r="D785" s="29" t="s">
        <v>237</v>
      </c>
      <c r="E785" s="29" t="s">
        <v>8</v>
      </c>
      <c r="F785" s="29" t="s">
        <v>238</v>
      </c>
      <c r="G785" s="29" t="s">
        <v>239</v>
      </c>
      <c r="H785" s="32">
        <v>19</v>
      </c>
      <c r="I785" s="32">
        <v>2357.62</v>
      </c>
      <c r="J785" s="32">
        <v>44794.78</v>
      </c>
      <c r="K785" s="29"/>
      <c r="M785" s="29"/>
      <c r="N785" s="29"/>
      <c r="P785" s="29"/>
      <c r="Q785" s="29"/>
      <c r="S785" s="29"/>
      <c r="T785" s="29"/>
      <c r="V785" s="29"/>
      <c r="X785" s="29"/>
      <c r="Y785" s="29"/>
      <c r="Z785" s="29"/>
    </row>
    <row r="786" spans="1:26" ht="15" thickBot="1">
      <c r="A786" s="49">
        <v>45079</v>
      </c>
      <c r="B786" s="29" t="s">
        <v>240</v>
      </c>
      <c r="C786" s="29" t="s">
        <v>258</v>
      </c>
      <c r="D786" s="29" t="s">
        <v>242</v>
      </c>
      <c r="E786" s="29" t="s">
        <v>8</v>
      </c>
      <c r="F786" s="29" t="s">
        <v>245</v>
      </c>
      <c r="G786" s="29" t="s">
        <v>246</v>
      </c>
      <c r="H786" s="32">
        <v>18</v>
      </c>
      <c r="I786" s="32">
        <v>941.19</v>
      </c>
      <c r="J786" s="32">
        <v>16941.419999999998</v>
      </c>
      <c r="K786" s="29"/>
      <c r="M786" s="29"/>
      <c r="N786" s="29"/>
      <c r="P786" s="29"/>
      <c r="Q786" s="29"/>
      <c r="S786" s="29"/>
      <c r="T786" s="29"/>
      <c r="V786" s="29"/>
      <c r="X786" s="29"/>
      <c r="Y786" s="29"/>
      <c r="Z786" s="29"/>
    </row>
    <row r="787" spans="1:26" ht="15" thickBot="1">
      <c r="A787" s="49">
        <v>45021</v>
      </c>
      <c r="B787" s="29" t="s">
        <v>271</v>
      </c>
      <c r="C787" s="29" t="s">
        <v>236</v>
      </c>
      <c r="D787" s="29" t="s">
        <v>237</v>
      </c>
      <c r="E787" s="29" t="s">
        <v>8</v>
      </c>
      <c r="F787" s="29" t="s">
        <v>245</v>
      </c>
      <c r="G787" s="29" t="s">
        <v>269</v>
      </c>
      <c r="H787" s="32">
        <v>9</v>
      </c>
      <c r="I787" s="32">
        <v>3927.83</v>
      </c>
      <c r="J787" s="32">
        <v>35350.47</v>
      </c>
      <c r="K787" s="29"/>
      <c r="M787" s="29"/>
      <c r="N787" s="29"/>
      <c r="P787" s="29"/>
      <c r="Q787" s="29"/>
      <c r="S787" s="29"/>
      <c r="T787" s="29"/>
      <c r="V787" s="29"/>
      <c r="X787" s="29"/>
      <c r="Y787" s="29"/>
      <c r="Z787" s="29"/>
    </row>
    <row r="788" spans="1:26" ht="15" thickBot="1">
      <c r="A788" s="32" t="s">
        <v>369</v>
      </c>
      <c r="B788" s="29" t="s">
        <v>235</v>
      </c>
      <c r="C788" s="29" t="s">
        <v>241</v>
      </c>
      <c r="D788" s="29" t="s">
        <v>242</v>
      </c>
      <c r="E788" s="29" t="s">
        <v>8</v>
      </c>
      <c r="F788" s="29" t="s">
        <v>250</v>
      </c>
      <c r="G788" s="29" t="s">
        <v>284</v>
      </c>
      <c r="H788" s="32">
        <v>1</v>
      </c>
      <c r="I788" s="32">
        <v>4555.42</v>
      </c>
      <c r="J788" s="32">
        <v>4555.42</v>
      </c>
      <c r="K788" s="29"/>
      <c r="M788" s="29"/>
      <c r="N788" s="29"/>
      <c r="P788" s="29"/>
      <c r="Q788" s="29"/>
      <c r="S788" s="29"/>
      <c r="T788" s="29"/>
      <c r="V788" s="29"/>
      <c r="X788" s="29"/>
      <c r="Y788" s="29"/>
      <c r="Z788" s="29"/>
    </row>
    <row r="789" spans="1:26" ht="15" thickBot="1">
      <c r="A789" s="32" t="s">
        <v>407</v>
      </c>
      <c r="B789" s="29" t="s">
        <v>254</v>
      </c>
      <c r="C789" s="29" t="s">
        <v>231</v>
      </c>
      <c r="D789" s="29" t="s">
        <v>232</v>
      </c>
      <c r="E789" s="29" t="s">
        <v>6</v>
      </c>
      <c r="F789" s="29" t="s">
        <v>245</v>
      </c>
      <c r="G789" s="29" t="s">
        <v>269</v>
      </c>
      <c r="H789" s="32">
        <v>18</v>
      </c>
      <c r="I789" s="32">
        <v>3271.29</v>
      </c>
      <c r="J789" s="32">
        <v>58883.22</v>
      </c>
      <c r="K789" s="29"/>
      <c r="M789" s="29"/>
      <c r="N789" s="29"/>
      <c r="P789" s="29"/>
      <c r="Q789" s="29"/>
      <c r="S789" s="29"/>
      <c r="T789" s="29"/>
      <c r="V789" s="29"/>
      <c r="X789" s="29"/>
      <c r="Y789" s="29"/>
      <c r="Z789" s="29"/>
    </row>
    <row r="790" spans="1:26" ht="15" thickBot="1">
      <c r="A790" s="32" t="s">
        <v>326</v>
      </c>
      <c r="B790" s="29" t="s">
        <v>230</v>
      </c>
      <c r="C790" s="29" t="s">
        <v>316</v>
      </c>
      <c r="D790" s="29" t="s">
        <v>247</v>
      </c>
      <c r="E790" s="29" t="s">
        <v>6</v>
      </c>
      <c r="F790" s="29" t="s">
        <v>259</v>
      </c>
      <c r="G790" s="29" t="s">
        <v>298</v>
      </c>
      <c r="H790" s="32">
        <v>15</v>
      </c>
      <c r="I790" s="32">
        <v>4406.3100000000004</v>
      </c>
      <c r="J790" s="32">
        <v>66094.649999999994</v>
      </c>
      <c r="K790" s="29"/>
      <c r="M790" s="29"/>
      <c r="N790" s="29"/>
      <c r="P790" s="29"/>
      <c r="Q790" s="29"/>
      <c r="S790" s="29"/>
      <c r="T790" s="29"/>
      <c r="V790" s="29"/>
      <c r="X790" s="29"/>
      <c r="Y790" s="29"/>
      <c r="Z790" s="29"/>
    </row>
    <row r="791" spans="1:26" ht="15" thickBot="1">
      <c r="A791" s="49">
        <v>44997</v>
      </c>
      <c r="B791" s="29" t="s">
        <v>268</v>
      </c>
      <c r="C791" s="29" t="s">
        <v>276</v>
      </c>
      <c r="D791" s="29" t="s">
        <v>247</v>
      </c>
      <c r="E791" s="29" t="s">
        <v>6</v>
      </c>
      <c r="F791" s="29" t="s">
        <v>238</v>
      </c>
      <c r="G791" s="29" t="s">
        <v>303</v>
      </c>
      <c r="H791" s="32">
        <v>19</v>
      </c>
      <c r="I791" s="32">
        <v>2016.56</v>
      </c>
      <c r="J791" s="32">
        <v>38314.639999999999</v>
      </c>
      <c r="K791" s="29"/>
      <c r="M791" s="29"/>
      <c r="N791" s="29"/>
      <c r="P791" s="29"/>
      <c r="Q791" s="29"/>
      <c r="S791" s="29"/>
      <c r="T791" s="29"/>
      <c r="V791" s="29"/>
      <c r="X791" s="29"/>
      <c r="Y791" s="29"/>
      <c r="Z791" s="29"/>
    </row>
    <row r="792" spans="1:26" ht="15" thickBot="1">
      <c r="A792" s="32" t="s">
        <v>461</v>
      </c>
      <c r="B792" s="29" t="s">
        <v>268</v>
      </c>
      <c r="C792" s="29" t="s">
        <v>316</v>
      </c>
      <c r="D792" s="29" t="s">
        <v>247</v>
      </c>
      <c r="E792" s="29" t="s">
        <v>6</v>
      </c>
      <c r="F792" s="29" t="s">
        <v>233</v>
      </c>
      <c r="G792" s="29" t="s">
        <v>304</v>
      </c>
      <c r="H792" s="32">
        <v>13</v>
      </c>
      <c r="I792" s="32">
        <v>3531.03</v>
      </c>
      <c r="J792" s="32">
        <v>45903.39</v>
      </c>
      <c r="K792" s="29"/>
      <c r="M792" s="29"/>
      <c r="N792" s="29"/>
      <c r="P792" s="29"/>
      <c r="Q792" s="29"/>
      <c r="S792" s="29"/>
      <c r="T792" s="29"/>
      <c r="V792" s="29"/>
      <c r="X792" s="29"/>
      <c r="Y792" s="29"/>
      <c r="Z792" s="29"/>
    </row>
    <row r="793" spans="1:26" ht="15" thickBot="1">
      <c r="A793" s="32" t="s">
        <v>481</v>
      </c>
      <c r="B793" s="29" t="s">
        <v>257</v>
      </c>
      <c r="C793" s="29" t="s">
        <v>236</v>
      </c>
      <c r="D793" s="29" t="s">
        <v>237</v>
      </c>
      <c r="E793" s="29" t="s">
        <v>8</v>
      </c>
      <c r="F793" s="29" t="s">
        <v>233</v>
      </c>
      <c r="G793" s="29" t="s">
        <v>234</v>
      </c>
      <c r="H793" s="32">
        <v>7</v>
      </c>
      <c r="I793" s="32">
        <v>4077.95</v>
      </c>
      <c r="J793" s="32">
        <v>28545.65</v>
      </c>
      <c r="K793" s="29"/>
      <c r="M793" s="29"/>
      <c r="N793" s="29"/>
      <c r="P793" s="29"/>
      <c r="Q793" s="29"/>
      <c r="S793" s="29"/>
      <c r="T793" s="29"/>
      <c r="V793" s="29"/>
      <c r="X793" s="29"/>
      <c r="Y793" s="29"/>
      <c r="Z793" s="29"/>
    </row>
    <row r="794" spans="1:26" ht="15" thickBot="1">
      <c r="A794" s="32" t="s">
        <v>422</v>
      </c>
      <c r="B794" s="29" t="s">
        <v>254</v>
      </c>
      <c r="C794" s="29" t="s">
        <v>258</v>
      </c>
      <c r="D794" s="29" t="s">
        <v>242</v>
      </c>
      <c r="E794" s="29" t="s">
        <v>8</v>
      </c>
      <c r="F794" s="29" t="s">
        <v>250</v>
      </c>
      <c r="G794" s="29" t="s">
        <v>293</v>
      </c>
      <c r="H794" s="32">
        <v>1</v>
      </c>
      <c r="I794" s="32">
        <v>1628.88</v>
      </c>
      <c r="J794" s="32">
        <v>1628.88</v>
      </c>
      <c r="K794" s="29"/>
      <c r="M794" s="29"/>
      <c r="N794" s="29"/>
      <c r="P794" s="29"/>
      <c r="Q794" s="29"/>
      <c r="S794" s="29"/>
      <c r="T794" s="29"/>
      <c r="V794" s="29"/>
      <c r="X794" s="29"/>
      <c r="Y794" s="29"/>
      <c r="Z794" s="29"/>
    </row>
    <row r="795" spans="1:26" ht="15" thickBot="1">
      <c r="A795" s="32" t="s">
        <v>279</v>
      </c>
      <c r="B795" s="29" t="s">
        <v>235</v>
      </c>
      <c r="C795" s="29" t="s">
        <v>241</v>
      </c>
      <c r="D795" s="29" t="s">
        <v>242</v>
      </c>
      <c r="E795" s="29" t="s">
        <v>8</v>
      </c>
      <c r="F795" s="29" t="s">
        <v>245</v>
      </c>
      <c r="G795" s="29" t="s">
        <v>246</v>
      </c>
      <c r="H795" s="32">
        <v>15</v>
      </c>
      <c r="I795" s="32">
        <v>2093.0300000000002</v>
      </c>
      <c r="J795" s="32">
        <v>31395.45</v>
      </c>
      <c r="K795" s="29"/>
      <c r="M795" s="29"/>
      <c r="N795" s="29"/>
      <c r="P795" s="29"/>
      <c r="Q795" s="29"/>
      <c r="S795" s="29"/>
      <c r="T795" s="29"/>
      <c r="V795" s="29"/>
      <c r="X795" s="29"/>
      <c r="Y795" s="29"/>
      <c r="Z795" s="29"/>
    </row>
    <row r="796" spans="1:26" ht="15" thickBot="1">
      <c r="A796" s="49">
        <v>44992</v>
      </c>
      <c r="B796" s="29" t="s">
        <v>271</v>
      </c>
      <c r="C796" s="29" t="s">
        <v>281</v>
      </c>
      <c r="D796" s="29" t="s">
        <v>252</v>
      </c>
      <c r="E796" s="29" t="s">
        <v>5</v>
      </c>
      <c r="F796" s="29" t="s">
        <v>245</v>
      </c>
      <c r="G796" s="29" t="s">
        <v>269</v>
      </c>
      <c r="H796" s="32">
        <v>14</v>
      </c>
      <c r="I796" s="32">
        <v>2441.0700000000002</v>
      </c>
      <c r="J796" s="32">
        <v>34174.980000000003</v>
      </c>
      <c r="K796" s="29"/>
      <c r="M796" s="29"/>
      <c r="N796" s="29"/>
      <c r="P796" s="29"/>
      <c r="Q796" s="29"/>
      <c r="S796" s="29"/>
      <c r="T796" s="29"/>
      <c r="V796" s="29"/>
      <c r="X796" s="29"/>
      <c r="Y796" s="29"/>
      <c r="Z796" s="29"/>
    </row>
    <row r="797" spans="1:26" ht="15" thickBot="1">
      <c r="A797" s="49">
        <v>45266</v>
      </c>
      <c r="B797" s="29" t="s">
        <v>280</v>
      </c>
      <c r="C797" s="29" t="s">
        <v>274</v>
      </c>
      <c r="D797" s="29" t="s">
        <v>232</v>
      </c>
      <c r="E797" s="29" t="s">
        <v>6</v>
      </c>
      <c r="F797" s="29" t="s">
        <v>233</v>
      </c>
      <c r="G797" s="29" t="s">
        <v>301</v>
      </c>
      <c r="H797" s="32">
        <v>18</v>
      </c>
      <c r="I797" s="32">
        <v>134.66999999999999</v>
      </c>
      <c r="J797" s="32">
        <v>2424.06</v>
      </c>
      <c r="K797" s="29"/>
      <c r="M797" s="29"/>
      <c r="N797" s="29"/>
      <c r="P797" s="29"/>
      <c r="Q797" s="29"/>
      <c r="S797" s="29"/>
      <c r="T797" s="29"/>
      <c r="V797" s="29"/>
      <c r="X797" s="29"/>
      <c r="Y797" s="29"/>
      <c r="Z797" s="29"/>
    </row>
    <row r="798" spans="1:26" ht="15" thickBot="1">
      <c r="A798" s="49">
        <v>45207</v>
      </c>
      <c r="B798" s="29" t="s">
        <v>235</v>
      </c>
      <c r="C798" s="29" t="s">
        <v>258</v>
      </c>
      <c r="D798" s="29" t="s">
        <v>242</v>
      </c>
      <c r="E798" s="29" t="s">
        <v>8</v>
      </c>
      <c r="F798" s="29" t="s">
        <v>259</v>
      </c>
      <c r="G798" s="29" t="s">
        <v>179</v>
      </c>
      <c r="H798" s="32">
        <v>8</v>
      </c>
      <c r="I798" s="32">
        <v>2518.13</v>
      </c>
      <c r="J798" s="32">
        <v>20145.04</v>
      </c>
      <c r="K798" s="29"/>
      <c r="M798" s="29"/>
      <c r="N798" s="29"/>
      <c r="P798" s="29"/>
      <c r="Q798" s="29"/>
      <c r="S798" s="29"/>
      <c r="T798" s="29"/>
      <c r="V798" s="29"/>
      <c r="X798" s="29"/>
      <c r="Y798" s="29"/>
      <c r="Z798" s="29"/>
    </row>
    <row r="799" spans="1:26" ht="15" thickBot="1">
      <c r="A799" s="49">
        <v>45054</v>
      </c>
      <c r="B799" s="29" t="s">
        <v>240</v>
      </c>
      <c r="C799" s="29" t="s">
        <v>281</v>
      </c>
      <c r="D799" s="29" t="s">
        <v>252</v>
      </c>
      <c r="E799" s="29" t="s">
        <v>5</v>
      </c>
      <c r="F799" s="29" t="s">
        <v>238</v>
      </c>
      <c r="G799" s="29" t="s">
        <v>296</v>
      </c>
      <c r="H799" s="32">
        <v>1</v>
      </c>
      <c r="I799" s="32">
        <v>2366.64</v>
      </c>
      <c r="J799" s="32">
        <v>2366.64</v>
      </c>
      <c r="K799" s="29"/>
      <c r="M799" s="29"/>
      <c r="N799" s="29"/>
      <c r="P799" s="29"/>
      <c r="Q799" s="29"/>
      <c r="S799" s="29"/>
      <c r="T799" s="29"/>
      <c r="V799" s="29"/>
      <c r="X799" s="29"/>
      <c r="Y799" s="29"/>
      <c r="Z799" s="29"/>
    </row>
    <row r="800" spans="1:26" ht="15" thickBot="1">
      <c r="A800" s="49">
        <v>45028</v>
      </c>
      <c r="B800" s="29" t="s">
        <v>235</v>
      </c>
      <c r="C800" s="29" t="s">
        <v>249</v>
      </c>
      <c r="D800" s="29" t="s">
        <v>232</v>
      </c>
      <c r="E800" s="29" t="s">
        <v>6</v>
      </c>
      <c r="F800" s="29" t="s">
        <v>238</v>
      </c>
      <c r="G800" s="29" t="s">
        <v>239</v>
      </c>
      <c r="H800" s="32">
        <v>14</v>
      </c>
      <c r="I800" s="32">
        <v>3167.49</v>
      </c>
      <c r="J800" s="32">
        <v>44344.86</v>
      </c>
      <c r="K800" s="29"/>
      <c r="M800" s="29"/>
      <c r="N800" s="29"/>
      <c r="P800" s="29"/>
      <c r="Q800" s="29"/>
      <c r="S800" s="29"/>
      <c r="T800" s="29"/>
      <c r="V800" s="29"/>
      <c r="X800" s="29"/>
      <c r="Y800" s="29"/>
      <c r="Z800" s="29"/>
    </row>
    <row r="801" spans="1:26" ht="15" thickBot="1">
      <c r="A801" s="49">
        <v>45265</v>
      </c>
      <c r="B801" s="29" t="s">
        <v>254</v>
      </c>
      <c r="C801" s="29" t="s">
        <v>249</v>
      </c>
      <c r="D801" s="29" t="s">
        <v>232</v>
      </c>
      <c r="E801" s="29" t="s">
        <v>6</v>
      </c>
      <c r="F801" s="29" t="s">
        <v>259</v>
      </c>
      <c r="G801" s="29" t="s">
        <v>182</v>
      </c>
      <c r="H801" s="32">
        <v>9</v>
      </c>
      <c r="I801" s="32">
        <v>109.56</v>
      </c>
      <c r="J801" s="32">
        <v>986.04</v>
      </c>
      <c r="K801" s="29"/>
      <c r="M801" s="29"/>
      <c r="N801" s="29"/>
      <c r="P801" s="29"/>
      <c r="Q801" s="29"/>
      <c r="S801" s="29"/>
      <c r="T801" s="29"/>
      <c r="V801" s="29"/>
      <c r="X801" s="29"/>
      <c r="Y801" s="29"/>
      <c r="Z801" s="29"/>
    </row>
    <row r="802" spans="1:26" ht="15" thickBot="1">
      <c r="A802" s="49">
        <v>44963</v>
      </c>
      <c r="B802" s="29" t="s">
        <v>257</v>
      </c>
      <c r="C802" s="29" t="s">
        <v>281</v>
      </c>
      <c r="D802" s="29" t="s">
        <v>252</v>
      </c>
      <c r="E802" s="29" t="s">
        <v>5</v>
      </c>
      <c r="F802" s="29" t="s">
        <v>259</v>
      </c>
      <c r="G802" s="29" t="s">
        <v>299</v>
      </c>
      <c r="H802" s="32">
        <v>20</v>
      </c>
      <c r="I802" s="32">
        <v>652.87</v>
      </c>
      <c r="J802" s="32">
        <v>13057.4</v>
      </c>
      <c r="K802" s="29"/>
      <c r="M802" s="29"/>
      <c r="N802" s="29"/>
      <c r="P802" s="29"/>
      <c r="Q802" s="29"/>
      <c r="S802" s="29"/>
      <c r="T802" s="29"/>
      <c r="V802" s="29"/>
      <c r="X802" s="29"/>
      <c r="Y802" s="29"/>
      <c r="Z802" s="29"/>
    </row>
    <row r="803" spans="1:26" ht="15" thickBot="1">
      <c r="A803" s="32" t="s">
        <v>363</v>
      </c>
      <c r="B803" s="29" t="s">
        <v>254</v>
      </c>
      <c r="C803" s="29" t="s">
        <v>241</v>
      </c>
      <c r="D803" s="29" t="s">
        <v>242</v>
      </c>
      <c r="E803" s="29" t="s">
        <v>8</v>
      </c>
      <c r="F803" s="29" t="s">
        <v>245</v>
      </c>
      <c r="G803" s="29" t="s">
        <v>269</v>
      </c>
      <c r="H803" s="32">
        <v>4</v>
      </c>
      <c r="I803" s="32">
        <v>2563.65</v>
      </c>
      <c r="J803" s="32">
        <v>10254.6</v>
      </c>
      <c r="K803" s="29"/>
      <c r="M803" s="29"/>
      <c r="N803" s="29"/>
      <c r="P803" s="29"/>
      <c r="Q803" s="29"/>
      <c r="S803" s="29"/>
      <c r="T803" s="29"/>
      <c r="V803" s="29"/>
      <c r="X803" s="29"/>
      <c r="Y803" s="29"/>
      <c r="Z803" s="29"/>
    </row>
    <row r="804" spans="1:26" ht="15" thickBot="1">
      <c r="A804" s="32" t="s">
        <v>339</v>
      </c>
      <c r="B804" s="29" t="s">
        <v>248</v>
      </c>
      <c r="C804" s="29" t="s">
        <v>255</v>
      </c>
      <c r="D804" s="29" t="s">
        <v>237</v>
      </c>
      <c r="E804" s="29" t="s">
        <v>8</v>
      </c>
      <c r="F804" s="29" t="s">
        <v>250</v>
      </c>
      <c r="G804" s="29" t="s">
        <v>277</v>
      </c>
      <c r="H804" s="32">
        <v>2</v>
      </c>
      <c r="I804" s="32">
        <v>771.23</v>
      </c>
      <c r="J804" s="32">
        <v>1542.46</v>
      </c>
      <c r="K804" s="29"/>
      <c r="M804" s="29"/>
      <c r="N804" s="29"/>
      <c r="P804" s="29"/>
      <c r="Q804" s="29"/>
      <c r="S804" s="29"/>
      <c r="T804" s="29"/>
      <c r="V804" s="29"/>
      <c r="X804" s="29"/>
      <c r="Y804" s="29"/>
      <c r="Z804" s="29"/>
    </row>
    <row r="805" spans="1:26" ht="15" thickBot="1">
      <c r="A805" s="32" t="s">
        <v>391</v>
      </c>
      <c r="B805" s="29" t="s">
        <v>260</v>
      </c>
      <c r="C805" s="29" t="s">
        <v>244</v>
      </c>
      <c r="D805" s="29" t="s">
        <v>237</v>
      </c>
      <c r="E805" s="29" t="s">
        <v>8</v>
      </c>
      <c r="F805" s="29" t="s">
        <v>245</v>
      </c>
      <c r="G805" s="29" t="s">
        <v>269</v>
      </c>
      <c r="H805" s="32">
        <v>19</v>
      </c>
      <c r="I805" s="32">
        <v>2290.6799999999998</v>
      </c>
      <c r="J805" s="32">
        <v>43522.92</v>
      </c>
      <c r="K805" s="29"/>
      <c r="M805" s="29"/>
      <c r="N805" s="29"/>
      <c r="P805" s="29"/>
      <c r="Q805" s="29"/>
      <c r="S805" s="29"/>
      <c r="T805" s="29"/>
      <c r="V805" s="29"/>
      <c r="X805" s="29"/>
      <c r="Y805" s="29"/>
      <c r="Z805" s="29"/>
    </row>
    <row r="806" spans="1:26" ht="15" thickBot="1">
      <c r="A806" s="32" t="s">
        <v>297</v>
      </c>
      <c r="B806" s="29" t="s">
        <v>254</v>
      </c>
      <c r="C806" s="29" t="s">
        <v>283</v>
      </c>
      <c r="D806" s="29" t="s">
        <v>242</v>
      </c>
      <c r="E806" s="29" t="s">
        <v>8</v>
      </c>
      <c r="F806" s="29" t="s">
        <v>238</v>
      </c>
      <c r="G806" s="29" t="s">
        <v>256</v>
      </c>
      <c r="H806" s="32">
        <v>9</v>
      </c>
      <c r="I806" s="32">
        <v>4965.3</v>
      </c>
      <c r="J806" s="32">
        <v>44687.7</v>
      </c>
      <c r="K806" s="29"/>
      <c r="M806" s="29"/>
      <c r="N806" s="29"/>
      <c r="P806" s="29"/>
      <c r="Q806" s="29"/>
      <c r="S806" s="29"/>
      <c r="T806" s="29"/>
      <c r="V806" s="29"/>
      <c r="X806" s="29"/>
      <c r="Y806" s="29"/>
      <c r="Z806" s="29"/>
    </row>
    <row r="807" spans="1:26" ht="15" thickBot="1">
      <c r="A807" s="32" t="s">
        <v>439</v>
      </c>
      <c r="B807" s="29" t="s">
        <v>248</v>
      </c>
      <c r="C807" s="29" t="s">
        <v>231</v>
      </c>
      <c r="D807" s="29" t="s">
        <v>232</v>
      </c>
      <c r="E807" s="29" t="s">
        <v>6</v>
      </c>
      <c r="F807" s="29" t="s">
        <v>259</v>
      </c>
      <c r="G807" s="29" t="s">
        <v>182</v>
      </c>
      <c r="H807" s="32">
        <v>4</v>
      </c>
      <c r="I807" s="32">
        <v>3684.5</v>
      </c>
      <c r="J807" s="32">
        <v>14738</v>
      </c>
      <c r="K807" s="29"/>
      <c r="M807" s="29"/>
      <c r="N807" s="29"/>
      <c r="P807" s="29"/>
      <c r="Q807" s="29"/>
      <c r="S807" s="29"/>
      <c r="T807" s="29"/>
      <c r="V807" s="29"/>
      <c r="X807" s="29"/>
      <c r="Y807" s="29"/>
      <c r="Z807" s="29"/>
    </row>
    <row r="808" spans="1:26" ht="15" thickBot="1">
      <c r="A808" s="49">
        <v>45237</v>
      </c>
      <c r="B808" s="29" t="s">
        <v>240</v>
      </c>
      <c r="C808" s="29" t="s">
        <v>261</v>
      </c>
      <c r="D808" s="29" t="s">
        <v>247</v>
      </c>
      <c r="E808" s="29" t="s">
        <v>6</v>
      </c>
      <c r="F808" s="29" t="s">
        <v>250</v>
      </c>
      <c r="G808" s="29" t="s">
        <v>293</v>
      </c>
      <c r="H808" s="32">
        <v>14</v>
      </c>
      <c r="I808" s="32">
        <v>4566.12</v>
      </c>
      <c r="J808" s="32">
        <v>63925.68</v>
      </c>
      <c r="K808" s="29"/>
      <c r="M808" s="29"/>
      <c r="N808" s="29"/>
      <c r="P808" s="29"/>
      <c r="Q808" s="29"/>
      <c r="S808" s="29"/>
      <c r="T808" s="29"/>
      <c r="V808" s="29"/>
      <c r="X808" s="29"/>
      <c r="Y808" s="29"/>
      <c r="Z808" s="29"/>
    </row>
    <row r="809" spans="1:26" ht="15" thickBot="1">
      <c r="A809" s="32" t="s">
        <v>314</v>
      </c>
      <c r="B809" s="29" t="s">
        <v>257</v>
      </c>
      <c r="C809" s="29" t="s">
        <v>255</v>
      </c>
      <c r="D809" s="29" t="s">
        <v>237</v>
      </c>
      <c r="E809" s="29" t="s">
        <v>8</v>
      </c>
      <c r="F809" s="29" t="s">
        <v>233</v>
      </c>
      <c r="G809" s="29" t="s">
        <v>304</v>
      </c>
      <c r="H809" s="32">
        <v>17</v>
      </c>
      <c r="I809" s="32">
        <v>2246.8200000000002</v>
      </c>
      <c r="J809" s="32">
        <v>38195.94</v>
      </c>
      <c r="K809" s="29"/>
      <c r="M809" s="29"/>
      <c r="N809" s="29"/>
      <c r="P809" s="29"/>
      <c r="Q809" s="29"/>
      <c r="S809" s="29"/>
      <c r="T809" s="29"/>
      <c r="V809" s="29"/>
      <c r="X809" s="29"/>
      <c r="Y809" s="29"/>
      <c r="Z809" s="29"/>
    </row>
    <row r="810" spans="1:26" ht="15" thickBot="1">
      <c r="A810" s="49">
        <v>45266</v>
      </c>
      <c r="B810" s="29" t="s">
        <v>240</v>
      </c>
      <c r="C810" s="29" t="s">
        <v>313</v>
      </c>
      <c r="D810" s="29" t="s">
        <v>252</v>
      </c>
      <c r="E810" s="29" t="s">
        <v>5</v>
      </c>
      <c r="F810" s="29" t="s">
        <v>238</v>
      </c>
      <c r="G810" s="29" t="s">
        <v>239</v>
      </c>
      <c r="H810" s="32">
        <v>3</v>
      </c>
      <c r="I810" s="32">
        <v>215.21</v>
      </c>
      <c r="J810" s="32">
        <v>645.63</v>
      </c>
      <c r="K810" s="29"/>
      <c r="M810" s="29"/>
      <c r="N810" s="29"/>
      <c r="P810" s="29"/>
      <c r="Q810" s="29"/>
      <c r="S810" s="29"/>
      <c r="T810" s="29"/>
      <c r="V810" s="29"/>
      <c r="X810" s="29"/>
      <c r="Y810" s="29"/>
      <c r="Z810" s="29"/>
    </row>
    <row r="811" spans="1:26" ht="15" thickBot="1">
      <c r="A811" s="32" t="s">
        <v>477</v>
      </c>
      <c r="B811" s="29" t="s">
        <v>280</v>
      </c>
      <c r="C811" s="29" t="s">
        <v>241</v>
      </c>
      <c r="D811" s="29" t="s">
        <v>242</v>
      </c>
      <c r="E811" s="29" t="s">
        <v>8</v>
      </c>
      <c r="F811" s="29" t="s">
        <v>259</v>
      </c>
      <c r="G811" s="29" t="s">
        <v>179</v>
      </c>
      <c r="H811" s="32">
        <v>7</v>
      </c>
      <c r="I811" s="32">
        <v>1294.31</v>
      </c>
      <c r="J811" s="32">
        <v>9060.17</v>
      </c>
      <c r="K811" s="29"/>
      <c r="M811" s="29"/>
      <c r="N811" s="29"/>
      <c r="P811" s="29"/>
      <c r="Q811" s="29"/>
      <c r="S811" s="29"/>
      <c r="T811" s="29"/>
      <c r="V811" s="29"/>
      <c r="X811" s="29"/>
      <c r="Y811" s="29"/>
      <c r="Z811" s="29"/>
    </row>
    <row r="812" spans="1:26" ht="15" thickBot="1">
      <c r="A812" s="32" t="s">
        <v>409</v>
      </c>
      <c r="B812" s="29" t="s">
        <v>254</v>
      </c>
      <c r="C812" s="29" t="s">
        <v>316</v>
      </c>
      <c r="D812" s="29" t="s">
        <v>247</v>
      </c>
      <c r="E812" s="29" t="s">
        <v>6</v>
      </c>
      <c r="F812" s="29" t="s">
        <v>250</v>
      </c>
      <c r="G812" s="29" t="s">
        <v>293</v>
      </c>
      <c r="H812" s="32">
        <v>9</v>
      </c>
      <c r="I812" s="32">
        <v>1558.74</v>
      </c>
      <c r="J812" s="32">
        <v>14028.66</v>
      </c>
      <c r="K812" s="29"/>
      <c r="M812" s="29"/>
      <c r="N812" s="29"/>
      <c r="P812" s="29"/>
      <c r="Q812" s="29"/>
      <c r="S812" s="29"/>
      <c r="T812" s="29"/>
      <c r="V812" s="29"/>
      <c r="X812" s="29"/>
      <c r="Y812" s="29"/>
      <c r="Z812" s="29"/>
    </row>
    <row r="813" spans="1:26" ht="15" thickBot="1">
      <c r="A813" s="32" t="s">
        <v>341</v>
      </c>
      <c r="B813" s="29" t="s">
        <v>268</v>
      </c>
      <c r="C813" s="29" t="s">
        <v>236</v>
      </c>
      <c r="D813" s="29" t="s">
        <v>237</v>
      </c>
      <c r="E813" s="29" t="s">
        <v>8</v>
      </c>
      <c r="F813" s="29" t="s">
        <v>238</v>
      </c>
      <c r="G813" s="29" t="s">
        <v>303</v>
      </c>
      <c r="H813" s="32">
        <v>11</v>
      </c>
      <c r="I813" s="32">
        <v>4382.91</v>
      </c>
      <c r="J813" s="32">
        <v>48212.01</v>
      </c>
      <c r="K813" s="29"/>
      <c r="M813" s="29"/>
      <c r="N813" s="29"/>
      <c r="P813" s="29"/>
      <c r="Q813" s="29"/>
      <c r="S813" s="29"/>
      <c r="T813" s="29"/>
      <c r="V813" s="29"/>
      <c r="X813" s="29"/>
      <c r="Y813" s="29"/>
      <c r="Z813" s="29"/>
    </row>
    <row r="814" spans="1:26" ht="15" thickBot="1">
      <c r="A814" s="32" t="s">
        <v>449</v>
      </c>
      <c r="B814" s="29" t="s">
        <v>254</v>
      </c>
      <c r="C814" s="29" t="s">
        <v>313</v>
      </c>
      <c r="D814" s="29" t="s">
        <v>252</v>
      </c>
      <c r="E814" s="29" t="s">
        <v>5</v>
      </c>
      <c r="F814" s="29" t="s">
        <v>259</v>
      </c>
      <c r="G814" s="29" t="s">
        <v>298</v>
      </c>
      <c r="H814" s="32">
        <v>6</v>
      </c>
      <c r="I814" s="32">
        <v>4197.59</v>
      </c>
      <c r="J814" s="32">
        <v>25185.54</v>
      </c>
      <c r="K814" s="29"/>
      <c r="M814" s="29"/>
      <c r="N814" s="29"/>
      <c r="P814" s="29"/>
      <c r="Q814" s="29"/>
      <c r="S814" s="29"/>
      <c r="T814" s="29"/>
      <c r="V814" s="29"/>
      <c r="X814" s="29"/>
      <c r="Y814" s="29"/>
      <c r="Z814" s="29"/>
    </row>
    <row r="815" spans="1:26" ht="15" thickBot="1">
      <c r="A815" s="49">
        <v>45018</v>
      </c>
      <c r="B815" s="29" t="s">
        <v>230</v>
      </c>
      <c r="C815" s="29" t="s">
        <v>255</v>
      </c>
      <c r="D815" s="29" t="s">
        <v>237</v>
      </c>
      <c r="E815" s="29" t="s">
        <v>8</v>
      </c>
      <c r="F815" s="29" t="s">
        <v>238</v>
      </c>
      <c r="G815" s="29" t="s">
        <v>303</v>
      </c>
      <c r="H815" s="32">
        <v>2</v>
      </c>
      <c r="I815" s="32">
        <v>4137.49</v>
      </c>
      <c r="J815" s="32">
        <v>8274.98</v>
      </c>
      <c r="K815" s="29"/>
      <c r="M815" s="29"/>
      <c r="N815" s="29"/>
      <c r="P815" s="29"/>
      <c r="Q815" s="29"/>
      <c r="S815" s="29"/>
      <c r="T815" s="29"/>
      <c r="V815" s="29"/>
      <c r="X815" s="29"/>
      <c r="Y815" s="29"/>
      <c r="Z815" s="29"/>
    </row>
    <row r="816" spans="1:26" ht="15" thickBot="1">
      <c r="A816" s="49">
        <v>45271</v>
      </c>
      <c r="B816" s="29" t="s">
        <v>260</v>
      </c>
      <c r="C816" s="29" t="s">
        <v>281</v>
      </c>
      <c r="D816" s="29" t="s">
        <v>252</v>
      </c>
      <c r="E816" s="29" t="s">
        <v>5</v>
      </c>
      <c r="F816" s="29" t="s">
        <v>259</v>
      </c>
      <c r="G816" s="29" t="s">
        <v>298</v>
      </c>
      <c r="H816" s="32">
        <v>16</v>
      </c>
      <c r="I816" s="32">
        <v>1598.06</v>
      </c>
      <c r="J816" s="32">
        <v>25568.959999999999</v>
      </c>
      <c r="K816" s="29"/>
      <c r="M816" s="29"/>
      <c r="N816" s="29"/>
      <c r="P816" s="29"/>
      <c r="Q816" s="29"/>
      <c r="S816" s="29"/>
      <c r="T816" s="29"/>
      <c r="V816" s="29"/>
      <c r="X816" s="29"/>
      <c r="Y816" s="29"/>
      <c r="Z816" s="29"/>
    </row>
    <row r="817" spans="1:26" ht="15" thickBot="1">
      <c r="A817" s="32" t="s">
        <v>480</v>
      </c>
      <c r="B817" s="29" t="s">
        <v>235</v>
      </c>
      <c r="C817" s="29" t="s">
        <v>313</v>
      </c>
      <c r="D817" s="29" t="s">
        <v>252</v>
      </c>
      <c r="E817" s="29" t="s">
        <v>5</v>
      </c>
      <c r="F817" s="29" t="s">
        <v>233</v>
      </c>
      <c r="G817" s="29" t="s">
        <v>304</v>
      </c>
      <c r="H817" s="32">
        <v>3</v>
      </c>
      <c r="I817" s="32">
        <v>3044.02</v>
      </c>
      <c r="J817" s="32">
        <v>9132.06</v>
      </c>
      <c r="K817" s="29"/>
      <c r="M817" s="29"/>
      <c r="N817" s="29"/>
      <c r="P817" s="29"/>
      <c r="Q817" s="29"/>
      <c r="S817" s="29"/>
      <c r="T817" s="29"/>
      <c r="V817" s="29"/>
      <c r="X817" s="29"/>
      <c r="Y817" s="29"/>
      <c r="Z817" s="29"/>
    </row>
    <row r="818" spans="1:26" ht="15" thickBot="1">
      <c r="A818" s="49">
        <v>45170</v>
      </c>
      <c r="B818" s="29" t="s">
        <v>230</v>
      </c>
      <c r="C818" s="29" t="s">
        <v>274</v>
      </c>
      <c r="D818" s="29" t="s">
        <v>232</v>
      </c>
      <c r="E818" s="29" t="s">
        <v>6</v>
      </c>
      <c r="F818" s="29" t="s">
        <v>245</v>
      </c>
      <c r="G818" s="29" t="s">
        <v>295</v>
      </c>
      <c r="H818" s="32">
        <v>6</v>
      </c>
      <c r="I818" s="32">
        <v>4270.03</v>
      </c>
      <c r="J818" s="32">
        <v>25620.18</v>
      </c>
      <c r="K818" s="29"/>
      <c r="M818" s="29"/>
      <c r="N818" s="29"/>
      <c r="P818" s="29"/>
      <c r="Q818" s="29"/>
      <c r="S818" s="29"/>
      <c r="T818" s="29"/>
      <c r="V818" s="29"/>
      <c r="X818" s="29"/>
      <c r="Y818" s="29"/>
      <c r="Z818" s="29"/>
    </row>
    <row r="819" spans="1:26" ht="15" thickBot="1">
      <c r="A819" s="49">
        <v>45208</v>
      </c>
      <c r="B819" s="29" t="s">
        <v>235</v>
      </c>
      <c r="C819" s="29" t="s">
        <v>274</v>
      </c>
      <c r="D819" s="29" t="s">
        <v>232</v>
      </c>
      <c r="E819" s="29" t="s">
        <v>6</v>
      </c>
      <c r="F819" s="29" t="s">
        <v>233</v>
      </c>
      <c r="G819" s="29" t="s">
        <v>304</v>
      </c>
      <c r="H819" s="32">
        <v>13</v>
      </c>
      <c r="I819" s="32">
        <v>298.08999999999997</v>
      </c>
      <c r="J819" s="32">
        <v>3875.17</v>
      </c>
      <c r="K819" s="29"/>
      <c r="M819" s="29"/>
      <c r="N819" s="29"/>
      <c r="P819" s="29"/>
      <c r="Q819" s="29"/>
      <c r="S819" s="29"/>
      <c r="T819" s="29"/>
      <c r="V819" s="29"/>
      <c r="X819" s="29"/>
      <c r="Y819" s="29"/>
      <c r="Z819" s="29"/>
    </row>
    <row r="820" spans="1:26" ht="15" thickBot="1">
      <c r="A820" s="32" t="s">
        <v>336</v>
      </c>
      <c r="B820" s="29" t="s">
        <v>260</v>
      </c>
      <c r="C820" s="29" t="s">
        <v>316</v>
      </c>
      <c r="D820" s="29" t="s">
        <v>247</v>
      </c>
      <c r="E820" s="29" t="s">
        <v>6</v>
      </c>
      <c r="F820" s="29" t="s">
        <v>259</v>
      </c>
      <c r="G820" s="29" t="s">
        <v>182</v>
      </c>
      <c r="H820" s="32">
        <v>3</v>
      </c>
      <c r="I820" s="32">
        <v>1453.68</v>
      </c>
      <c r="J820" s="32">
        <v>4361.04</v>
      </c>
      <c r="K820" s="29"/>
      <c r="M820" s="29"/>
      <c r="N820" s="29"/>
      <c r="P820" s="29"/>
      <c r="Q820" s="29"/>
      <c r="S820" s="29"/>
      <c r="T820" s="29"/>
      <c r="V820" s="29"/>
      <c r="X820" s="29"/>
      <c r="Y820" s="29"/>
      <c r="Z820" s="29"/>
    </row>
    <row r="821" spans="1:26" ht="15" thickBot="1">
      <c r="A821" s="32" t="s">
        <v>352</v>
      </c>
      <c r="B821" s="29" t="s">
        <v>271</v>
      </c>
      <c r="C821" s="29" t="s">
        <v>281</v>
      </c>
      <c r="D821" s="29" t="s">
        <v>252</v>
      </c>
      <c r="E821" s="29" t="s">
        <v>5</v>
      </c>
      <c r="F821" s="29" t="s">
        <v>238</v>
      </c>
      <c r="G821" s="29" t="s">
        <v>296</v>
      </c>
      <c r="H821" s="32">
        <v>4</v>
      </c>
      <c r="I821" s="32">
        <v>1009.78</v>
      </c>
      <c r="J821" s="32">
        <v>4039.12</v>
      </c>
      <c r="K821" s="29"/>
      <c r="M821" s="29"/>
      <c r="N821" s="29"/>
      <c r="P821" s="29"/>
      <c r="Q821" s="29"/>
      <c r="S821" s="29"/>
      <c r="T821" s="29"/>
      <c r="V821" s="29"/>
      <c r="X821" s="29"/>
      <c r="Y821" s="29"/>
      <c r="Z821" s="29"/>
    </row>
    <row r="822" spans="1:26" ht="15" thickBot="1">
      <c r="A822" s="49">
        <v>45026</v>
      </c>
      <c r="B822" s="29" t="s">
        <v>230</v>
      </c>
      <c r="C822" s="29" t="s">
        <v>244</v>
      </c>
      <c r="D822" s="29" t="s">
        <v>237</v>
      </c>
      <c r="E822" s="29" t="s">
        <v>8</v>
      </c>
      <c r="F822" s="29" t="s">
        <v>259</v>
      </c>
      <c r="G822" s="29" t="s">
        <v>179</v>
      </c>
      <c r="H822" s="32">
        <v>12</v>
      </c>
      <c r="I822" s="32">
        <v>231.07</v>
      </c>
      <c r="J822" s="32">
        <v>2772.84</v>
      </c>
      <c r="K822" s="29"/>
      <c r="M822" s="29"/>
      <c r="N822" s="29"/>
      <c r="P822" s="29"/>
      <c r="Q822" s="29"/>
      <c r="S822" s="29"/>
      <c r="T822" s="29"/>
      <c r="V822" s="29"/>
      <c r="X822" s="29"/>
      <c r="Y822" s="29"/>
      <c r="Z822" s="29"/>
    </row>
    <row r="823" spans="1:26" ht="15" thickBot="1">
      <c r="A823" s="49">
        <v>45079</v>
      </c>
      <c r="B823" s="29" t="s">
        <v>230</v>
      </c>
      <c r="C823" s="29" t="s">
        <v>231</v>
      </c>
      <c r="D823" s="29" t="s">
        <v>232</v>
      </c>
      <c r="E823" s="29" t="s">
        <v>6</v>
      </c>
      <c r="F823" s="29" t="s">
        <v>259</v>
      </c>
      <c r="G823" s="29" t="s">
        <v>182</v>
      </c>
      <c r="H823" s="32">
        <v>12</v>
      </c>
      <c r="I823" s="32">
        <v>1410.03</v>
      </c>
      <c r="J823" s="32">
        <v>16920.36</v>
      </c>
      <c r="K823" s="29"/>
      <c r="M823" s="29"/>
      <c r="N823" s="29"/>
      <c r="P823" s="29"/>
      <c r="Q823" s="29"/>
      <c r="S823" s="29"/>
      <c r="T823" s="29"/>
      <c r="V823" s="29"/>
      <c r="X823" s="29"/>
      <c r="Y823" s="29"/>
      <c r="Z823" s="29"/>
    </row>
    <row r="824" spans="1:26" ht="15" thickBot="1">
      <c r="A824" s="49">
        <v>45171</v>
      </c>
      <c r="B824" s="29" t="s">
        <v>260</v>
      </c>
      <c r="C824" s="29" t="s">
        <v>274</v>
      </c>
      <c r="D824" s="29" t="s">
        <v>232</v>
      </c>
      <c r="E824" s="29" t="s">
        <v>6</v>
      </c>
      <c r="F824" s="29" t="s">
        <v>238</v>
      </c>
      <c r="G824" s="29" t="s">
        <v>256</v>
      </c>
      <c r="H824" s="32">
        <v>6</v>
      </c>
      <c r="I824" s="32">
        <v>1610.91</v>
      </c>
      <c r="J824" s="32">
        <v>9665.4599999999991</v>
      </c>
      <c r="K824" s="29"/>
      <c r="M824" s="29"/>
      <c r="N824" s="29"/>
      <c r="P824" s="29"/>
      <c r="Q824" s="29"/>
      <c r="S824" s="29"/>
      <c r="T824" s="29"/>
      <c r="V824" s="29"/>
      <c r="X824" s="29"/>
      <c r="Y824" s="29"/>
      <c r="Z824" s="29"/>
    </row>
    <row r="825" spans="1:26" ht="15" thickBot="1">
      <c r="A825" s="49">
        <v>45109</v>
      </c>
      <c r="B825" s="29" t="s">
        <v>268</v>
      </c>
      <c r="C825" s="29" t="s">
        <v>283</v>
      </c>
      <c r="D825" s="29" t="s">
        <v>242</v>
      </c>
      <c r="E825" s="29" t="s">
        <v>8</v>
      </c>
      <c r="F825" s="29" t="s">
        <v>238</v>
      </c>
      <c r="G825" s="29" t="s">
        <v>256</v>
      </c>
      <c r="H825" s="32">
        <v>7</v>
      </c>
      <c r="I825" s="32">
        <v>3396.62</v>
      </c>
      <c r="J825" s="32">
        <v>23776.34</v>
      </c>
      <c r="K825" s="29"/>
      <c r="M825" s="29"/>
      <c r="N825" s="29"/>
      <c r="P825" s="29"/>
      <c r="Q825" s="29"/>
      <c r="S825" s="29"/>
      <c r="T825" s="29"/>
      <c r="V825" s="29"/>
      <c r="X825" s="29"/>
      <c r="Y825" s="29"/>
      <c r="Z825" s="29"/>
    </row>
    <row r="826" spans="1:26" ht="15" thickBot="1">
      <c r="A826" s="49">
        <v>45145</v>
      </c>
      <c r="B826" s="29" t="s">
        <v>280</v>
      </c>
      <c r="C826" s="29" t="s">
        <v>283</v>
      </c>
      <c r="D826" s="29" t="s">
        <v>242</v>
      </c>
      <c r="E826" s="29" t="s">
        <v>8</v>
      </c>
      <c r="F826" s="29" t="s">
        <v>238</v>
      </c>
      <c r="G826" s="29" t="s">
        <v>296</v>
      </c>
      <c r="H826" s="32">
        <v>14</v>
      </c>
      <c r="I826" s="32">
        <v>4164.33</v>
      </c>
      <c r="J826" s="32">
        <v>58300.62</v>
      </c>
      <c r="K826" s="29"/>
      <c r="M826" s="29"/>
      <c r="N826" s="29"/>
      <c r="P826" s="29"/>
      <c r="Q826" s="29"/>
      <c r="S826" s="29"/>
      <c r="T826" s="29"/>
      <c r="V826" s="29"/>
      <c r="X826" s="29"/>
      <c r="Y826" s="29"/>
      <c r="Z826" s="29"/>
    </row>
    <row r="827" spans="1:26" ht="15" thickBot="1">
      <c r="A827" s="32" t="s">
        <v>291</v>
      </c>
      <c r="B827" s="29" t="s">
        <v>280</v>
      </c>
      <c r="C827" s="29" t="s">
        <v>231</v>
      </c>
      <c r="D827" s="29" t="s">
        <v>232</v>
      </c>
      <c r="E827" s="29" t="s">
        <v>6</v>
      </c>
      <c r="F827" s="29" t="s">
        <v>233</v>
      </c>
      <c r="G827" s="29" t="s">
        <v>287</v>
      </c>
      <c r="H827" s="32">
        <v>12</v>
      </c>
      <c r="I827" s="32">
        <v>4414.2700000000004</v>
      </c>
      <c r="J827" s="32">
        <v>52971.24</v>
      </c>
      <c r="K827" s="29"/>
      <c r="M827" s="29"/>
      <c r="N827" s="29"/>
      <c r="P827" s="29"/>
      <c r="Q827" s="29"/>
      <c r="S827" s="29"/>
      <c r="T827" s="29"/>
      <c r="V827" s="29"/>
      <c r="X827" s="29"/>
      <c r="Y827" s="29"/>
      <c r="Z827" s="29"/>
    </row>
    <row r="828" spans="1:26" ht="15" thickBot="1">
      <c r="A828" s="32" t="s">
        <v>454</v>
      </c>
      <c r="B828" s="29" t="s">
        <v>268</v>
      </c>
      <c r="C828" s="29" t="s">
        <v>255</v>
      </c>
      <c r="D828" s="29" t="s">
        <v>237</v>
      </c>
      <c r="E828" s="29" t="s">
        <v>8</v>
      </c>
      <c r="F828" s="29" t="s">
        <v>245</v>
      </c>
      <c r="G828" s="29" t="s">
        <v>295</v>
      </c>
      <c r="H828" s="32">
        <v>13</v>
      </c>
      <c r="I828" s="32">
        <v>3101.42</v>
      </c>
      <c r="J828" s="32">
        <v>40318.46</v>
      </c>
      <c r="K828" s="29"/>
      <c r="M828" s="29"/>
      <c r="N828" s="29"/>
      <c r="P828" s="29"/>
      <c r="Q828" s="29"/>
      <c r="S828" s="29"/>
      <c r="T828" s="29"/>
      <c r="V828" s="29"/>
      <c r="X828" s="29"/>
      <c r="Y828" s="29"/>
      <c r="Z828" s="29"/>
    </row>
    <row r="829" spans="1:26" ht="15" thickBot="1">
      <c r="A829" s="32" t="s">
        <v>409</v>
      </c>
      <c r="B829" s="29" t="s">
        <v>271</v>
      </c>
      <c r="C829" s="29" t="s">
        <v>244</v>
      </c>
      <c r="D829" s="29" t="s">
        <v>237</v>
      </c>
      <c r="E829" s="29" t="s">
        <v>8</v>
      </c>
      <c r="F829" s="29" t="s">
        <v>238</v>
      </c>
      <c r="G829" s="29" t="s">
        <v>303</v>
      </c>
      <c r="H829" s="32">
        <v>18</v>
      </c>
      <c r="I829" s="32">
        <v>3002.55</v>
      </c>
      <c r="J829" s="32">
        <v>54045.9</v>
      </c>
      <c r="K829" s="29"/>
      <c r="M829" s="29"/>
      <c r="N829" s="29"/>
      <c r="P829" s="29"/>
      <c r="Q829" s="29"/>
      <c r="S829" s="29"/>
      <c r="T829" s="29"/>
      <c r="V829" s="29"/>
      <c r="X829" s="29"/>
      <c r="Y829" s="29"/>
      <c r="Z829" s="29"/>
    </row>
    <row r="830" spans="1:26" ht="15" thickBot="1">
      <c r="A830" s="49">
        <v>45048</v>
      </c>
      <c r="B830" s="29" t="s">
        <v>230</v>
      </c>
      <c r="C830" s="29" t="s">
        <v>273</v>
      </c>
      <c r="D830" s="29" t="s">
        <v>252</v>
      </c>
      <c r="E830" s="29" t="s">
        <v>5</v>
      </c>
      <c r="F830" s="29" t="s">
        <v>233</v>
      </c>
      <c r="G830" s="29" t="s">
        <v>234</v>
      </c>
      <c r="H830" s="32">
        <v>13</v>
      </c>
      <c r="I830" s="32">
        <v>2098.65</v>
      </c>
      <c r="J830" s="32">
        <v>27282.45</v>
      </c>
      <c r="K830" s="29"/>
      <c r="M830" s="29"/>
      <c r="N830" s="29"/>
      <c r="P830" s="29"/>
      <c r="Q830" s="29"/>
      <c r="S830" s="29"/>
      <c r="T830" s="29"/>
      <c r="V830" s="29"/>
      <c r="X830" s="29"/>
      <c r="Y830" s="29"/>
      <c r="Z830" s="29"/>
    </row>
    <row r="831" spans="1:26" ht="15" thickBot="1">
      <c r="A831" s="49">
        <v>45087</v>
      </c>
      <c r="B831" s="29" t="s">
        <v>268</v>
      </c>
      <c r="C831" s="29" t="s">
        <v>276</v>
      </c>
      <c r="D831" s="29" t="s">
        <v>247</v>
      </c>
      <c r="E831" s="29" t="s">
        <v>6</v>
      </c>
      <c r="F831" s="29" t="s">
        <v>259</v>
      </c>
      <c r="G831" s="29" t="s">
        <v>298</v>
      </c>
      <c r="H831" s="32">
        <v>5</v>
      </c>
      <c r="I831" s="32">
        <v>4106.79</v>
      </c>
      <c r="J831" s="32">
        <v>20533.95</v>
      </c>
      <c r="K831" s="29"/>
      <c r="M831" s="29"/>
      <c r="N831" s="29"/>
      <c r="P831" s="29"/>
      <c r="Q831" s="29"/>
      <c r="S831" s="29"/>
      <c r="T831" s="29"/>
      <c r="V831" s="29"/>
      <c r="X831" s="29"/>
      <c r="Y831" s="29"/>
      <c r="Z831" s="29"/>
    </row>
    <row r="832" spans="1:26" ht="15" thickBot="1">
      <c r="A832" s="32" t="s">
        <v>343</v>
      </c>
      <c r="B832" s="29" t="s">
        <v>248</v>
      </c>
      <c r="C832" s="29" t="s">
        <v>281</v>
      </c>
      <c r="D832" s="29" t="s">
        <v>252</v>
      </c>
      <c r="E832" s="29" t="s">
        <v>5</v>
      </c>
      <c r="F832" s="29" t="s">
        <v>245</v>
      </c>
      <c r="G832" s="29" t="s">
        <v>246</v>
      </c>
      <c r="H832" s="32">
        <v>1</v>
      </c>
      <c r="I832" s="32">
        <v>3041.26</v>
      </c>
      <c r="J832" s="32">
        <v>3041.26</v>
      </c>
      <c r="K832" s="29"/>
      <c r="M832" s="29"/>
      <c r="N832" s="29"/>
      <c r="P832" s="29"/>
      <c r="Q832" s="29"/>
      <c r="S832" s="29"/>
      <c r="T832" s="29"/>
      <c r="V832" s="29"/>
      <c r="X832" s="29"/>
      <c r="Y832" s="29"/>
      <c r="Z832" s="29"/>
    </row>
    <row r="833" spans="1:26" ht="15" thickBot="1">
      <c r="A833" s="32" t="s">
        <v>353</v>
      </c>
      <c r="B833" s="29" t="s">
        <v>248</v>
      </c>
      <c r="C833" s="29" t="s">
        <v>249</v>
      </c>
      <c r="D833" s="29" t="s">
        <v>232</v>
      </c>
      <c r="E833" s="29" t="s">
        <v>6</v>
      </c>
      <c r="F833" s="29" t="s">
        <v>238</v>
      </c>
      <c r="G833" s="29" t="s">
        <v>256</v>
      </c>
      <c r="H833" s="32">
        <v>7</v>
      </c>
      <c r="I833" s="32">
        <v>4514.21</v>
      </c>
      <c r="J833" s="32">
        <v>31599.47</v>
      </c>
      <c r="K833" s="29"/>
      <c r="M833" s="29"/>
      <c r="N833" s="29"/>
      <c r="P833" s="29"/>
      <c r="Q833" s="29"/>
      <c r="S833" s="29"/>
      <c r="T833" s="29"/>
      <c r="V833" s="29"/>
      <c r="X833" s="29"/>
      <c r="Y833" s="29"/>
      <c r="Z833" s="29"/>
    </row>
    <row r="834" spans="1:26" ht="15" thickBot="1">
      <c r="A834" s="32" t="s">
        <v>465</v>
      </c>
      <c r="B834" s="29" t="s">
        <v>280</v>
      </c>
      <c r="C834" s="29" t="s">
        <v>255</v>
      </c>
      <c r="D834" s="29" t="s">
        <v>237</v>
      </c>
      <c r="E834" s="29" t="s">
        <v>8</v>
      </c>
      <c r="F834" s="29" t="s">
        <v>245</v>
      </c>
      <c r="G834" s="29" t="s">
        <v>246</v>
      </c>
      <c r="H834" s="32">
        <v>18</v>
      </c>
      <c r="I834" s="32">
        <v>2971.68</v>
      </c>
      <c r="J834" s="32">
        <v>53490.239999999998</v>
      </c>
      <c r="K834" s="29"/>
      <c r="M834" s="29"/>
      <c r="N834" s="29"/>
      <c r="P834" s="29"/>
      <c r="Q834" s="29"/>
      <c r="S834" s="29"/>
      <c r="T834" s="29"/>
      <c r="V834" s="29"/>
      <c r="X834" s="29"/>
      <c r="Y834" s="29"/>
      <c r="Z834" s="29"/>
    </row>
    <row r="835" spans="1:26" ht="15" thickBot="1">
      <c r="A835" s="32" t="s">
        <v>300</v>
      </c>
      <c r="B835" s="29" t="s">
        <v>260</v>
      </c>
      <c r="C835" s="29" t="s">
        <v>258</v>
      </c>
      <c r="D835" s="29" t="s">
        <v>242</v>
      </c>
      <c r="E835" s="29" t="s">
        <v>8</v>
      </c>
      <c r="F835" s="29" t="s">
        <v>250</v>
      </c>
      <c r="G835" s="29" t="s">
        <v>251</v>
      </c>
      <c r="H835" s="32">
        <v>6</v>
      </c>
      <c r="I835" s="32">
        <v>2263.36</v>
      </c>
      <c r="J835" s="32">
        <v>13580.16</v>
      </c>
      <c r="K835" s="29"/>
      <c r="M835" s="29"/>
      <c r="N835" s="29"/>
      <c r="P835" s="29"/>
      <c r="Q835" s="29"/>
      <c r="S835" s="29"/>
      <c r="T835" s="29"/>
      <c r="V835" s="29"/>
      <c r="X835" s="29"/>
      <c r="Y835" s="29"/>
      <c r="Z835" s="29"/>
    </row>
    <row r="836" spans="1:26" ht="15" thickBot="1">
      <c r="A836" s="32" t="s">
        <v>482</v>
      </c>
      <c r="B836" s="29" t="s">
        <v>230</v>
      </c>
      <c r="C836" s="29" t="s">
        <v>236</v>
      </c>
      <c r="D836" s="29" t="s">
        <v>237</v>
      </c>
      <c r="E836" s="29" t="s">
        <v>8</v>
      </c>
      <c r="F836" s="29" t="s">
        <v>233</v>
      </c>
      <c r="G836" s="29" t="s">
        <v>301</v>
      </c>
      <c r="H836" s="32">
        <v>8</v>
      </c>
      <c r="I836" s="32">
        <v>3859.28</v>
      </c>
      <c r="J836" s="32">
        <v>30874.240000000002</v>
      </c>
      <c r="K836" s="29"/>
      <c r="M836" s="29"/>
      <c r="N836" s="29"/>
      <c r="P836" s="29"/>
      <c r="Q836" s="29"/>
      <c r="S836" s="29"/>
      <c r="T836" s="29"/>
      <c r="V836" s="29"/>
      <c r="X836" s="29"/>
      <c r="Y836" s="29"/>
      <c r="Z836" s="29"/>
    </row>
    <row r="837" spans="1:26" ht="15" thickBot="1">
      <c r="A837" s="32" t="s">
        <v>425</v>
      </c>
      <c r="B837" s="29" t="s">
        <v>268</v>
      </c>
      <c r="C837" s="29" t="s">
        <v>231</v>
      </c>
      <c r="D837" s="29" t="s">
        <v>232</v>
      </c>
      <c r="E837" s="29" t="s">
        <v>6</v>
      </c>
      <c r="F837" s="29" t="s">
        <v>233</v>
      </c>
      <c r="G837" s="29" t="s">
        <v>304</v>
      </c>
      <c r="H837" s="32">
        <v>14</v>
      </c>
      <c r="I837" s="32">
        <v>3044.71</v>
      </c>
      <c r="J837" s="32">
        <v>42625.94</v>
      </c>
      <c r="K837" s="29"/>
      <c r="M837" s="29"/>
      <c r="N837" s="29"/>
      <c r="P837" s="29"/>
      <c r="Q837" s="29"/>
      <c r="S837" s="29"/>
      <c r="T837" s="29"/>
      <c r="V837" s="29"/>
      <c r="X837" s="29"/>
      <c r="Y837" s="29"/>
      <c r="Z837" s="29"/>
    </row>
    <row r="838" spans="1:26" ht="15" thickBot="1">
      <c r="A838" s="32" t="s">
        <v>428</v>
      </c>
      <c r="B838" s="29" t="s">
        <v>248</v>
      </c>
      <c r="C838" s="29" t="s">
        <v>283</v>
      </c>
      <c r="D838" s="29" t="s">
        <v>242</v>
      </c>
      <c r="E838" s="29" t="s">
        <v>8</v>
      </c>
      <c r="F838" s="29" t="s">
        <v>238</v>
      </c>
      <c r="G838" s="29" t="s">
        <v>296</v>
      </c>
      <c r="H838" s="32">
        <v>11</v>
      </c>
      <c r="I838" s="32">
        <v>4653.38</v>
      </c>
      <c r="J838" s="32">
        <v>51187.18</v>
      </c>
      <c r="K838" s="29"/>
      <c r="M838" s="29"/>
      <c r="N838" s="29"/>
      <c r="P838" s="29"/>
      <c r="Q838" s="29"/>
      <c r="S838" s="29"/>
      <c r="T838" s="29"/>
      <c r="V838" s="29"/>
      <c r="X838" s="29"/>
      <c r="Y838" s="29"/>
      <c r="Z838" s="29"/>
    </row>
    <row r="839" spans="1:26" ht="15" thickBot="1">
      <c r="A839" s="49">
        <v>45109</v>
      </c>
      <c r="B839" s="29" t="s">
        <v>260</v>
      </c>
      <c r="C839" s="29" t="s">
        <v>258</v>
      </c>
      <c r="D839" s="29" t="s">
        <v>242</v>
      </c>
      <c r="E839" s="29" t="s">
        <v>8</v>
      </c>
      <c r="F839" s="29" t="s">
        <v>233</v>
      </c>
      <c r="G839" s="29" t="s">
        <v>304</v>
      </c>
      <c r="H839" s="32">
        <v>9</v>
      </c>
      <c r="I839" s="32">
        <v>3425.59</v>
      </c>
      <c r="J839" s="32">
        <v>30830.31</v>
      </c>
      <c r="K839" s="29"/>
      <c r="M839" s="29"/>
      <c r="N839" s="29"/>
      <c r="P839" s="29"/>
      <c r="Q839" s="29"/>
      <c r="S839" s="29"/>
      <c r="T839" s="29"/>
      <c r="V839" s="29"/>
      <c r="X839" s="29"/>
      <c r="Y839" s="29"/>
      <c r="Z839" s="29"/>
    </row>
    <row r="840" spans="1:26" ht="15" thickBot="1">
      <c r="A840" s="32" t="s">
        <v>436</v>
      </c>
      <c r="B840" s="29" t="s">
        <v>230</v>
      </c>
      <c r="C840" s="29" t="s">
        <v>249</v>
      </c>
      <c r="D840" s="29" t="s">
        <v>232</v>
      </c>
      <c r="E840" s="29" t="s">
        <v>6</v>
      </c>
      <c r="F840" s="29" t="s">
        <v>245</v>
      </c>
      <c r="G840" s="29" t="s">
        <v>246</v>
      </c>
      <c r="H840" s="32">
        <v>15</v>
      </c>
      <c r="I840" s="32">
        <v>4671.6899999999996</v>
      </c>
      <c r="J840" s="32">
        <v>70075.350000000006</v>
      </c>
      <c r="K840" s="29"/>
      <c r="M840" s="29"/>
      <c r="N840" s="29"/>
      <c r="P840" s="29"/>
      <c r="Q840" s="29"/>
      <c r="S840" s="29"/>
      <c r="T840" s="29"/>
      <c r="V840" s="29"/>
      <c r="X840" s="29"/>
      <c r="Y840" s="29"/>
      <c r="Z840" s="29"/>
    </row>
    <row r="841" spans="1:26" ht="15" thickBot="1">
      <c r="A841" s="32" t="s">
        <v>411</v>
      </c>
      <c r="B841" s="29" t="s">
        <v>235</v>
      </c>
      <c r="C841" s="29" t="s">
        <v>274</v>
      </c>
      <c r="D841" s="29" t="s">
        <v>232</v>
      </c>
      <c r="E841" s="29" t="s">
        <v>6</v>
      </c>
      <c r="F841" s="29" t="s">
        <v>238</v>
      </c>
      <c r="G841" s="29" t="s">
        <v>303</v>
      </c>
      <c r="H841" s="32">
        <v>5</v>
      </c>
      <c r="I841" s="32">
        <v>4600.38</v>
      </c>
      <c r="J841" s="32">
        <v>23001.9</v>
      </c>
      <c r="K841" s="29"/>
      <c r="M841" s="29"/>
      <c r="N841" s="29"/>
      <c r="P841" s="29"/>
      <c r="Q841" s="29"/>
      <c r="S841" s="29"/>
      <c r="T841" s="29"/>
      <c r="V841" s="29"/>
      <c r="X841" s="29"/>
      <c r="Y841" s="29"/>
      <c r="Z841" s="29"/>
    </row>
    <row r="842" spans="1:26" ht="15" thickBot="1">
      <c r="A842" s="49">
        <v>45236</v>
      </c>
      <c r="B842" s="29" t="s">
        <v>271</v>
      </c>
      <c r="C842" s="29" t="s">
        <v>255</v>
      </c>
      <c r="D842" s="29" t="s">
        <v>237</v>
      </c>
      <c r="E842" s="29" t="s">
        <v>8</v>
      </c>
      <c r="F842" s="29" t="s">
        <v>250</v>
      </c>
      <c r="G842" s="29" t="s">
        <v>293</v>
      </c>
      <c r="H842" s="32">
        <v>19</v>
      </c>
      <c r="I842" s="32">
        <v>2183.09</v>
      </c>
      <c r="J842" s="32">
        <v>41478.71</v>
      </c>
      <c r="K842" s="29"/>
      <c r="M842" s="29"/>
      <c r="N842" s="29"/>
      <c r="P842" s="29"/>
      <c r="Q842" s="29"/>
      <c r="S842" s="29"/>
      <c r="T842" s="29"/>
      <c r="V842" s="29"/>
      <c r="X842" s="29"/>
      <c r="Y842" s="29"/>
      <c r="Z842" s="29"/>
    </row>
    <row r="843" spans="1:26" ht="15" thickBot="1">
      <c r="A843" s="32" t="s">
        <v>416</v>
      </c>
      <c r="B843" s="29" t="s">
        <v>260</v>
      </c>
      <c r="C843" s="29" t="s">
        <v>244</v>
      </c>
      <c r="D843" s="29" t="s">
        <v>237</v>
      </c>
      <c r="E843" s="29" t="s">
        <v>8</v>
      </c>
      <c r="F843" s="29" t="s">
        <v>259</v>
      </c>
      <c r="G843" s="29" t="s">
        <v>182</v>
      </c>
      <c r="H843" s="32">
        <v>8</v>
      </c>
      <c r="I843" s="32">
        <v>1850.8</v>
      </c>
      <c r="J843" s="32">
        <v>14806.4</v>
      </c>
      <c r="K843" s="29"/>
      <c r="M843" s="29"/>
      <c r="N843" s="29"/>
      <c r="P843" s="29"/>
      <c r="Q843" s="29"/>
      <c r="S843" s="29"/>
      <c r="T843" s="29"/>
      <c r="V843" s="29"/>
      <c r="X843" s="29"/>
      <c r="Y843" s="29"/>
      <c r="Z843" s="29"/>
    </row>
    <row r="844" spans="1:26" ht="15" thickBot="1">
      <c r="A844" s="49">
        <v>45272</v>
      </c>
      <c r="B844" s="29" t="s">
        <v>235</v>
      </c>
      <c r="C844" s="29" t="s">
        <v>281</v>
      </c>
      <c r="D844" s="29" t="s">
        <v>252</v>
      </c>
      <c r="E844" s="29" t="s">
        <v>5</v>
      </c>
      <c r="F844" s="29" t="s">
        <v>259</v>
      </c>
      <c r="G844" s="29" t="s">
        <v>298</v>
      </c>
      <c r="H844" s="32">
        <v>12</v>
      </c>
      <c r="I844" s="32">
        <v>3695.68</v>
      </c>
      <c r="J844" s="32">
        <v>44348.160000000003</v>
      </c>
      <c r="K844" s="29"/>
      <c r="M844" s="29"/>
      <c r="N844" s="29"/>
      <c r="P844" s="29"/>
      <c r="Q844" s="29"/>
      <c r="S844" s="29"/>
      <c r="T844" s="29"/>
      <c r="V844" s="29"/>
      <c r="X844" s="29"/>
      <c r="Y844" s="29"/>
      <c r="Z844" s="29"/>
    </row>
    <row r="845" spans="1:26" ht="15" thickBot="1">
      <c r="A845" s="49">
        <v>45267</v>
      </c>
      <c r="B845" s="29" t="s">
        <v>230</v>
      </c>
      <c r="C845" s="29" t="s">
        <v>261</v>
      </c>
      <c r="D845" s="29" t="s">
        <v>247</v>
      </c>
      <c r="E845" s="29" t="s">
        <v>6</v>
      </c>
      <c r="F845" s="29" t="s">
        <v>233</v>
      </c>
      <c r="G845" s="29" t="s">
        <v>304</v>
      </c>
      <c r="H845" s="32">
        <v>14</v>
      </c>
      <c r="I845" s="32">
        <v>3099.57</v>
      </c>
      <c r="J845" s="32">
        <v>43393.98</v>
      </c>
      <c r="K845" s="29"/>
      <c r="M845" s="29"/>
      <c r="N845" s="29"/>
      <c r="P845" s="29"/>
      <c r="Q845" s="29"/>
      <c r="S845" s="29"/>
      <c r="T845" s="29"/>
      <c r="V845" s="29"/>
      <c r="X845" s="29"/>
      <c r="Y845" s="29"/>
      <c r="Z845" s="29"/>
    </row>
    <row r="846" spans="1:26" ht="15" thickBot="1">
      <c r="A846" s="32" t="s">
        <v>262</v>
      </c>
      <c r="B846" s="29" t="s">
        <v>257</v>
      </c>
      <c r="C846" s="29" t="s">
        <v>231</v>
      </c>
      <c r="D846" s="29" t="s">
        <v>232</v>
      </c>
      <c r="E846" s="29" t="s">
        <v>6</v>
      </c>
      <c r="F846" s="29" t="s">
        <v>245</v>
      </c>
      <c r="G846" s="29" t="s">
        <v>266</v>
      </c>
      <c r="H846" s="32">
        <v>1</v>
      </c>
      <c r="I846" s="32">
        <v>3758.07</v>
      </c>
      <c r="J846" s="32">
        <v>3758.07</v>
      </c>
      <c r="K846" s="29"/>
      <c r="M846" s="29"/>
      <c r="N846" s="29"/>
      <c r="P846" s="29"/>
      <c r="Q846" s="29"/>
      <c r="S846" s="29"/>
      <c r="T846" s="29"/>
      <c r="V846" s="29"/>
      <c r="X846" s="29"/>
      <c r="Y846" s="29"/>
      <c r="Z846" s="29"/>
    </row>
    <row r="847" spans="1:26" ht="15" thickBot="1">
      <c r="A847" s="32" t="s">
        <v>326</v>
      </c>
      <c r="B847" s="29" t="s">
        <v>254</v>
      </c>
      <c r="C847" s="29" t="s">
        <v>273</v>
      </c>
      <c r="D847" s="29" t="s">
        <v>252</v>
      </c>
      <c r="E847" s="29" t="s">
        <v>5</v>
      </c>
      <c r="F847" s="29" t="s">
        <v>233</v>
      </c>
      <c r="G847" s="29" t="s">
        <v>287</v>
      </c>
      <c r="H847" s="32">
        <v>5</v>
      </c>
      <c r="I847" s="32">
        <v>2536.65</v>
      </c>
      <c r="J847" s="32">
        <v>12683.25</v>
      </c>
      <c r="K847" s="29"/>
      <c r="M847" s="29"/>
      <c r="N847" s="29"/>
      <c r="P847" s="29"/>
      <c r="Q847" s="29"/>
      <c r="S847" s="29"/>
      <c r="T847" s="29"/>
      <c r="V847" s="29"/>
      <c r="X847" s="29"/>
      <c r="Y847" s="29"/>
      <c r="Z847" s="29"/>
    </row>
    <row r="848" spans="1:26" ht="15" thickBot="1">
      <c r="A848" s="32" t="s">
        <v>419</v>
      </c>
      <c r="B848" s="29" t="s">
        <v>257</v>
      </c>
      <c r="C848" s="29" t="s">
        <v>249</v>
      </c>
      <c r="D848" s="29" t="s">
        <v>232</v>
      </c>
      <c r="E848" s="29" t="s">
        <v>6</v>
      </c>
      <c r="F848" s="29" t="s">
        <v>250</v>
      </c>
      <c r="G848" s="29" t="s">
        <v>284</v>
      </c>
      <c r="H848" s="32">
        <v>9</v>
      </c>
      <c r="I848" s="32">
        <v>564.08000000000004</v>
      </c>
      <c r="J848" s="32">
        <v>5076.72</v>
      </c>
      <c r="K848" s="29"/>
      <c r="M848" s="29"/>
      <c r="N848" s="29"/>
      <c r="P848" s="29"/>
      <c r="Q848" s="29"/>
      <c r="S848" s="29"/>
      <c r="T848" s="29"/>
      <c r="V848" s="29"/>
      <c r="X848" s="29"/>
      <c r="Y848" s="29"/>
      <c r="Z848" s="29"/>
    </row>
    <row r="849" spans="1:26" ht="15" thickBot="1">
      <c r="A849" s="32" t="s">
        <v>389</v>
      </c>
      <c r="B849" s="29" t="s">
        <v>230</v>
      </c>
      <c r="C849" s="29" t="s">
        <v>241</v>
      </c>
      <c r="D849" s="29" t="s">
        <v>242</v>
      </c>
      <c r="E849" s="29" t="s">
        <v>8</v>
      </c>
      <c r="F849" s="29" t="s">
        <v>250</v>
      </c>
      <c r="G849" s="29" t="s">
        <v>277</v>
      </c>
      <c r="H849" s="32">
        <v>4</v>
      </c>
      <c r="I849" s="32">
        <v>3762.47</v>
      </c>
      <c r="J849" s="32">
        <v>15049.88</v>
      </c>
      <c r="K849" s="29"/>
      <c r="M849" s="29"/>
      <c r="N849" s="29"/>
      <c r="P849" s="29"/>
      <c r="Q849" s="29"/>
      <c r="S849" s="29"/>
      <c r="T849" s="29"/>
      <c r="V849" s="29"/>
      <c r="X849" s="29"/>
      <c r="Y849" s="29"/>
      <c r="Z849" s="29"/>
    </row>
    <row r="850" spans="1:26" ht="15" thickBot="1">
      <c r="A850" s="32" t="s">
        <v>325</v>
      </c>
      <c r="B850" s="29" t="s">
        <v>240</v>
      </c>
      <c r="C850" s="29" t="s">
        <v>316</v>
      </c>
      <c r="D850" s="29" t="s">
        <v>247</v>
      </c>
      <c r="E850" s="29" t="s">
        <v>6</v>
      </c>
      <c r="F850" s="29" t="s">
        <v>250</v>
      </c>
      <c r="G850" s="29" t="s">
        <v>293</v>
      </c>
      <c r="H850" s="32">
        <v>5</v>
      </c>
      <c r="I850" s="32">
        <v>4180.57</v>
      </c>
      <c r="J850" s="32">
        <v>20902.849999999999</v>
      </c>
      <c r="K850" s="29"/>
      <c r="M850" s="29"/>
      <c r="N850" s="29"/>
      <c r="P850" s="29"/>
      <c r="Q850" s="29"/>
      <c r="S850" s="29"/>
      <c r="T850" s="29"/>
      <c r="V850" s="29"/>
      <c r="X850" s="29"/>
      <c r="Y850" s="29"/>
      <c r="Z850" s="29"/>
    </row>
    <row r="851" spans="1:26" ht="15" thickBot="1">
      <c r="A851" s="32" t="s">
        <v>358</v>
      </c>
      <c r="B851" s="29" t="s">
        <v>260</v>
      </c>
      <c r="C851" s="29" t="s">
        <v>283</v>
      </c>
      <c r="D851" s="29" t="s">
        <v>242</v>
      </c>
      <c r="E851" s="29" t="s">
        <v>8</v>
      </c>
      <c r="F851" s="29" t="s">
        <v>233</v>
      </c>
      <c r="G851" s="29" t="s">
        <v>287</v>
      </c>
      <c r="H851" s="32">
        <v>5</v>
      </c>
      <c r="I851" s="32">
        <v>1947.01</v>
      </c>
      <c r="J851" s="32">
        <v>9735.0499999999993</v>
      </c>
      <c r="K851" s="29"/>
      <c r="M851" s="29"/>
      <c r="N851" s="29"/>
      <c r="P851" s="29"/>
      <c r="Q851" s="29"/>
      <c r="S851" s="29"/>
      <c r="T851" s="29"/>
      <c r="V851" s="29"/>
      <c r="X851" s="29"/>
      <c r="Y851" s="29"/>
      <c r="Z851" s="29"/>
    </row>
    <row r="852" spans="1:26" ht="15" thickBot="1">
      <c r="A852" s="32" t="s">
        <v>352</v>
      </c>
      <c r="B852" s="29" t="s">
        <v>230</v>
      </c>
      <c r="C852" s="29" t="s">
        <v>231</v>
      </c>
      <c r="D852" s="29" t="s">
        <v>232</v>
      </c>
      <c r="E852" s="29" t="s">
        <v>6</v>
      </c>
      <c r="F852" s="29" t="s">
        <v>245</v>
      </c>
      <c r="G852" s="29" t="s">
        <v>269</v>
      </c>
      <c r="H852" s="32">
        <v>13</v>
      </c>
      <c r="I852" s="32">
        <v>4686.21</v>
      </c>
      <c r="J852" s="32">
        <v>60920.73</v>
      </c>
      <c r="K852" s="29"/>
      <c r="M852" s="29"/>
      <c r="N852" s="29"/>
      <c r="P852" s="29"/>
      <c r="Q852" s="29"/>
      <c r="S852" s="29"/>
      <c r="T852" s="29"/>
      <c r="V852" s="29"/>
      <c r="X852" s="29"/>
      <c r="Y852" s="29"/>
      <c r="Z852" s="29"/>
    </row>
    <row r="853" spans="1:26" ht="15" thickBot="1">
      <c r="A853" s="32" t="s">
        <v>339</v>
      </c>
      <c r="B853" s="29" t="s">
        <v>240</v>
      </c>
      <c r="C853" s="29" t="s">
        <v>231</v>
      </c>
      <c r="D853" s="29" t="s">
        <v>232</v>
      </c>
      <c r="E853" s="29" t="s">
        <v>6</v>
      </c>
      <c r="F853" s="29" t="s">
        <v>233</v>
      </c>
      <c r="G853" s="29" t="s">
        <v>234</v>
      </c>
      <c r="H853" s="32">
        <v>7</v>
      </c>
      <c r="I853" s="32">
        <v>4418.17</v>
      </c>
      <c r="J853" s="32">
        <v>30927.19</v>
      </c>
      <c r="K853" s="29"/>
      <c r="M853" s="29"/>
      <c r="N853" s="29"/>
      <c r="P853" s="29"/>
      <c r="Q853" s="29"/>
      <c r="S853" s="29"/>
      <c r="T853" s="29"/>
      <c r="V853" s="29"/>
      <c r="X853" s="29"/>
      <c r="Y853" s="29"/>
      <c r="Z853" s="29"/>
    </row>
    <row r="854" spans="1:26" ht="15" thickBot="1">
      <c r="A854" s="49">
        <v>45179</v>
      </c>
      <c r="B854" s="29" t="s">
        <v>260</v>
      </c>
      <c r="C854" s="29" t="s">
        <v>274</v>
      </c>
      <c r="D854" s="29" t="s">
        <v>232</v>
      </c>
      <c r="E854" s="29" t="s">
        <v>6</v>
      </c>
      <c r="F854" s="29" t="s">
        <v>245</v>
      </c>
      <c r="G854" s="29" t="s">
        <v>295</v>
      </c>
      <c r="H854" s="32">
        <v>19</v>
      </c>
      <c r="I854" s="32">
        <v>4186.6400000000003</v>
      </c>
      <c r="J854" s="32">
        <v>79546.16</v>
      </c>
      <c r="K854" s="29"/>
      <c r="M854" s="29"/>
      <c r="N854" s="29"/>
      <c r="P854" s="29"/>
      <c r="Q854" s="29"/>
      <c r="S854" s="29"/>
      <c r="T854" s="29"/>
      <c r="V854" s="29"/>
      <c r="X854" s="29"/>
      <c r="Y854" s="29"/>
      <c r="Z854" s="29"/>
    </row>
    <row r="855" spans="1:26" ht="15" thickBot="1">
      <c r="A855" s="49">
        <v>45084</v>
      </c>
      <c r="B855" s="29" t="s">
        <v>235</v>
      </c>
      <c r="C855" s="29" t="s">
        <v>276</v>
      </c>
      <c r="D855" s="29" t="s">
        <v>247</v>
      </c>
      <c r="E855" s="29" t="s">
        <v>6</v>
      </c>
      <c r="F855" s="29" t="s">
        <v>233</v>
      </c>
      <c r="G855" s="29" t="s">
        <v>234</v>
      </c>
      <c r="H855" s="32">
        <v>6</v>
      </c>
      <c r="I855" s="32">
        <v>1003.96</v>
      </c>
      <c r="J855" s="32">
        <v>6023.76</v>
      </c>
      <c r="K855" s="29"/>
      <c r="M855" s="29"/>
      <c r="N855" s="29"/>
      <c r="P855" s="29"/>
      <c r="Q855" s="29"/>
      <c r="S855" s="29"/>
      <c r="T855" s="29"/>
      <c r="V855" s="29"/>
      <c r="X855" s="29"/>
      <c r="Y855" s="29"/>
      <c r="Z855" s="29"/>
    </row>
    <row r="856" spans="1:26" ht="15" thickBot="1">
      <c r="A856" s="32" t="s">
        <v>483</v>
      </c>
      <c r="B856" s="29" t="s">
        <v>268</v>
      </c>
      <c r="C856" s="29" t="s">
        <v>244</v>
      </c>
      <c r="D856" s="29" t="s">
        <v>237</v>
      </c>
      <c r="E856" s="29" t="s">
        <v>8</v>
      </c>
      <c r="F856" s="29" t="s">
        <v>259</v>
      </c>
      <c r="G856" s="29" t="s">
        <v>182</v>
      </c>
      <c r="H856" s="32">
        <v>13</v>
      </c>
      <c r="I856" s="32">
        <v>1028.74</v>
      </c>
      <c r="J856" s="32">
        <v>13373.62</v>
      </c>
      <c r="K856" s="29"/>
      <c r="M856" s="29"/>
      <c r="N856" s="29"/>
      <c r="P856" s="29"/>
      <c r="Q856" s="29"/>
      <c r="S856" s="29"/>
      <c r="T856" s="29"/>
      <c r="V856" s="29"/>
      <c r="X856" s="29"/>
      <c r="Y856" s="29"/>
      <c r="Z856" s="29"/>
    </row>
    <row r="857" spans="1:26" ht="15" thickBot="1">
      <c r="A857" s="32" t="s">
        <v>396</v>
      </c>
      <c r="B857" s="29" t="s">
        <v>254</v>
      </c>
      <c r="C857" s="29" t="s">
        <v>236</v>
      </c>
      <c r="D857" s="29" t="s">
        <v>237</v>
      </c>
      <c r="E857" s="29" t="s">
        <v>8</v>
      </c>
      <c r="F857" s="29" t="s">
        <v>245</v>
      </c>
      <c r="G857" s="29" t="s">
        <v>295</v>
      </c>
      <c r="H857" s="32">
        <v>20</v>
      </c>
      <c r="I857" s="32">
        <v>4751.1400000000003</v>
      </c>
      <c r="J857" s="32">
        <v>95022.8</v>
      </c>
      <c r="K857" s="29"/>
      <c r="M857" s="29"/>
      <c r="N857" s="29"/>
      <c r="P857" s="29"/>
      <c r="Q857" s="29"/>
      <c r="S857" s="29"/>
      <c r="T857" s="29"/>
      <c r="V857" s="29"/>
      <c r="X857" s="29"/>
      <c r="Y857" s="29"/>
      <c r="Z857" s="29"/>
    </row>
    <row r="858" spans="1:26" ht="15" thickBot="1">
      <c r="A858" s="32" t="s">
        <v>437</v>
      </c>
      <c r="B858" s="29" t="s">
        <v>230</v>
      </c>
      <c r="C858" s="29" t="s">
        <v>258</v>
      </c>
      <c r="D858" s="29" t="s">
        <v>242</v>
      </c>
      <c r="E858" s="29" t="s">
        <v>8</v>
      </c>
      <c r="F858" s="29" t="s">
        <v>245</v>
      </c>
      <c r="G858" s="29" t="s">
        <v>269</v>
      </c>
      <c r="H858" s="32">
        <v>8</v>
      </c>
      <c r="I858" s="32">
        <v>565.82000000000005</v>
      </c>
      <c r="J858" s="32">
        <v>4526.5600000000004</v>
      </c>
      <c r="K858" s="29"/>
      <c r="M858" s="29"/>
      <c r="N858" s="29"/>
      <c r="P858" s="29"/>
      <c r="Q858" s="29"/>
      <c r="S858" s="29"/>
      <c r="T858" s="29"/>
      <c r="V858" s="29"/>
      <c r="X858" s="29"/>
      <c r="Y858" s="29"/>
      <c r="Z858" s="29"/>
    </row>
    <row r="859" spans="1:26" ht="15" thickBot="1">
      <c r="A859" s="32" t="s">
        <v>423</v>
      </c>
      <c r="B859" s="29" t="s">
        <v>240</v>
      </c>
      <c r="C859" s="29" t="s">
        <v>274</v>
      </c>
      <c r="D859" s="29" t="s">
        <v>232</v>
      </c>
      <c r="E859" s="29" t="s">
        <v>6</v>
      </c>
      <c r="F859" s="29" t="s">
        <v>259</v>
      </c>
      <c r="G859" s="29" t="s">
        <v>298</v>
      </c>
      <c r="H859" s="32">
        <v>1</v>
      </c>
      <c r="I859" s="32">
        <v>1903.53</v>
      </c>
      <c r="J859" s="32">
        <v>1903.53</v>
      </c>
      <c r="K859" s="29"/>
      <c r="M859" s="29"/>
      <c r="N859" s="29"/>
      <c r="P859" s="29"/>
      <c r="Q859" s="29"/>
      <c r="S859" s="29"/>
      <c r="T859" s="29"/>
      <c r="V859" s="29"/>
      <c r="X859" s="29"/>
      <c r="Y859" s="29"/>
      <c r="Z859" s="29"/>
    </row>
    <row r="860" spans="1:26" ht="15" thickBot="1">
      <c r="A860" s="49">
        <v>45149</v>
      </c>
      <c r="B860" s="29" t="s">
        <v>254</v>
      </c>
      <c r="C860" s="29" t="s">
        <v>316</v>
      </c>
      <c r="D860" s="29" t="s">
        <v>247</v>
      </c>
      <c r="E860" s="29" t="s">
        <v>6</v>
      </c>
      <c r="F860" s="29" t="s">
        <v>238</v>
      </c>
      <c r="G860" s="29" t="s">
        <v>239</v>
      </c>
      <c r="H860" s="32">
        <v>20</v>
      </c>
      <c r="I860" s="32">
        <v>3286.69</v>
      </c>
      <c r="J860" s="32">
        <v>65733.8</v>
      </c>
      <c r="K860" s="29"/>
      <c r="M860" s="29"/>
      <c r="N860" s="29"/>
      <c r="P860" s="29"/>
      <c r="Q860" s="29"/>
      <c r="S860" s="29"/>
      <c r="T860" s="29"/>
      <c r="V860" s="29"/>
      <c r="X860" s="29"/>
      <c r="Y860" s="29"/>
      <c r="Z860" s="29"/>
    </row>
    <row r="861" spans="1:26" ht="15" thickBot="1">
      <c r="A861" s="32" t="s">
        <v>482</v>
      </c>
      <c r="B861" s="29" t="s">
        <v>230</v>
      </c>
      <c r="C861" s="29" t="s">
        <v>313</v>
      </c>
      <c r="D861" s="29" t="s">
        <v>252</v>
      </c>
      <c r="E861" s="29" t="s">
        <v>5</v>
      </c>
      <c r="F861" s="29" t="s">
        <v>238</v>
      </c>
      <c r="G861" s="29" t="s">
        <v>296</v>
      </c>
      <c r="H861" s="32">
        <v>20</v>
      </c>
      <c r="I861" s="32">
        <v>1176.4000000000001</v>
      </c>
      <c r="J861" s="32">
        <v>23528</v>
      </c>
      <c r="K861" s="29"/>
      <c r="M861" s="29"/>
      <c r="N861" s="29"/>
      <c r="P861" s="29"/>
      <c r="Q861" s="29"/>
      <c r="S861" s="29"/>
      <c r="T861" s="29"/>
      <c r="V861" s="29"/>
      <c r="X861" s="29"/>
      <c r="Y861" s="29"/>
      <c r="Z861" s="29"/>
    </row>
    <row r="862" spans="1:26" ht="15" thickBot="1">
      <c r="A862" s="32" t="s">
        <v>377</v>
      </c>
      <c r="B862" s="29" t="s">
        <v>230</v>
      </c>
      <c r="C862" s="29" t="s">
        <v>276</v>
      </c>
      <c r="D862" s="29" t="s">
        <v>247</v>
      </c>
      <c r="E862" s="29" t="s">
        <v>6</v>
      </c>
      <c r="F862" s="29" t="s">
        <v>238</v>
      </c>
      <c r="G862" s="29" t="s">
        <v>239</v>
      </c>
      <c r="H862" s="32">
        <v>11</v>
      </c>
      <c r="I862" s="32">
        <v>2038.9</v>
      </c>
      <c r="J862" s="32">
        <v>22427.9</v>
      </c>
      <c r="K862" s="29"/>
      <c r="M862" s="29"/>
      <c r="N862" s="29"/>
      <c r="P862" s="29"/>
      <c r="Q862" s="29"/>
      <c r="S862" s="29"/>
      <c r="T862" s="29"/>
      <c r="V862" s="29"/>
      <c r="X862" s="29"/>
      <c r="Y862" s="29"/>
      <c r="Z862" s="29"/>
    </row>
    <row r="863" spans="1:26" ht="15" thickBot="1">
      <c r="A863" s="49">
        <v>44929</v>
      </c>
      <c r="B863" s="29" t="s">
        <v>240</v>
      </c>
      <c r="C863" s="29" t="s">
        <v>236</v>
      </c>
      <c r="D863" s="29" t="s">
        <v>237</v>
      </c>
      <c r="E863" s="29" t="s">
        <v>8</v>
      </c>
      <c r="F863" s="29" t="s">
        <v>238</v>
      </c>
      <c r="G863" s="29" t="s">
        <v>303</v>
      </c>
      <c r="H863" s="32">
        <v>19</v>
      </c>
      <c r="I863" s="32">
        <v>3990.16</v>
      </c>
      <c r="J863" s="32">
        <v>75813.039999999994</v>
      </c>
      <c r="K863" s="29"/>
      <c r="M863" s="29"/>
      <c r="N863" s="29"/>
      <c r="P863" s="29"/>
      <c r="Q863" s="29"/>
      <c r="S863" s="29"/>
      <c r="T863" s="29"/>
      <c r="V863" s="29"/>
      <c r="X863" s="29"/>
      <c r="Y863" s="29"/>
      <c r="Z863" s="29"/>
    </row>
    <row r="864" spans="1:26" ht="15" thickBot="1">
      <c r="A864" s="32" t="s">
        <v>404</v>
      </c>
      <c r="B864" s="29" t="s">
        <v>280</v>
      </c>
      <c r="C864" s="29" t="s">
        <v>273</v>
      </c>
      <c r="D864" s="29" t="s">
        <v>252</v>
      </c>
      <c r="E864" s="29" t="s">
        <v>5</v>
      </c>
      <c r="F864" s="29" t="s">
        <v>245</v>
      </c>
      <c r="G864" s="29" t="s">
        <v>266</v>
      </c>
      <c r="H864" s="32">
        <v>15</v>
      </c>
      <c r="I864" s="32">
        <v>3765.36</v>
      </c>
      <c r="J864" s="32">
        <v>56480.4</v>
      </c>
      <c r="K864" s="29"/>
      <c r="M864" s="29"/>
      <c r="N864" s="29"/>
      <c r="P864" s="29"/>
      <c r="Q864" s="29"/>
      <c r="S864" s="29"/>
      <c r="T864" s="29"/>
      <c r="V864" s="29"/>
      <c r="X864" s="29"/>
      <c r="Y864" s="29"/>
      <c r="Z864" s="29"/>
    </row>
    <row r="865" spans="1:26" ht="15" thickBot="1">
      <c r="A865" s="32" t="s">
        <v>484</v>
      </c>
      <c r="B865" s="29" t="s">
        <v>248</v>
      </c>
      <c r="C865" s="29" t="s">
        <v>255</v>
      </c>
      <c r="D865" s="29" t="s">
        <v>237</v>
      </c>
      <c r="E865" s="29" t="s">
        <v>8</v>
      </c>
      <c r="F865" s="29" t="s">
        <v>245</v>
      </c>
      <c r="G865" s="29" t="s">
        <v>269</v>
      </c>
      <c r="H865" s="32">
        <v>12</v>
      </c>
      <c r="I865" s="32">
        <v>1794.88</v>
      </c>
      <c r="J865" s="32">
        <v>21538.560000000001</v>
      </c>
      <c r="K865" s="29"/>
      <c r="M865" s="29"/>
      <c r="N865" s="29"/>
      <c r="P865" s="29"/>
      <c r="Q865" s="29"/>
      <c r="S865" s="29"/>
      <c r="T865" s="29"/>
      <c r="V865" s="29"/>
      <c r="X865" s="29"/>
      <c r="Y865" s="29"/>
      <c r="Z865" s="29"/>
    </row>
    <row r="866" spans="1:26" ht="15" thickBot="1">
      <c r="A866" s="32" t="s">
        <v>485</v>
      </c>
      <c r="B866" s="29" t="s">
        <v>257</v>
      </c>
      <c r="C866" s="29" t="s">
        <v>241</v>
      </c>
      <c r="D866" s="29" t="s">
        <v>242</v>
      </c>
      <c r="E866" s="29" t="s">
        <v>8</v>
      </c>
      <c r="F866" s="29" t="s">
        <v>259</v>
      </c>
      <c r="G866" s="29" t="s">
        <v>298</v>
      </c>
      <c r="H866" s="32">
        <v>19</v>
      </c>
      <c r="I866" s="32">
        <v>2750.97</v>
      </c>
      <c r="J866" s="32">
        <v>52268.43</v>
      </c>
      <c r="K866" s="29"/>
      <c r="M866" s="29"/>
      <c r="N866" s="29"/>
      <c r="P866" s="29"/>
      <c r="Q866" s="29"/>
      <c r="S866" s="29"/>
      <c r="T866" s="29"/>
      <c r="V866" s="29"/>
      <c r="X866" s="29"/>
      <c r="Y866" s="29"/>
      <c r="Z866" s="29"/>
    </row>
    <row r="867" spans="1:26" ht="15" thickBot="1">
      <c r="A867" s="32" t="s">
        <v>300</v>
      </c>
      <c r="B867" s="29" t="s">
        <v>280</v>
      </c>
      <c r="C867" s="29" t="s">
        <v>231</v>
      </c>
      <c r="D867" s="29" t="s">
        <v>232</v>
      </c>
      <c r="E867" s="29" t="s">
        <v>6</v>
      </c>
      <c r="F867" s="29" t="s">
        <v>238</v>
      </c>
      <c r="G867" s="29" t="s">
        <v>239</v>
      </c>
      <c r="H867" s="32">
        <v>17</v>
      </c>
      <c r="I867" s="32">
        <v>3677.4</v>
      </c>
      <c r="J867" s="32">
        <v>62515.8</v>
      </c>
      <c r="K867" s="29"/>
      <c r="M867" s="29"/>
      <c r="N867" s="29"/>
      <c r="P867" s="29"/>
      <c r="Q867" s="29"/>
      <c r="S867" s="29"/>
      <c r="T867" s="29"/>
      <c r="V867" s="29"/>
      <c r="X867" s="29"/>
      <c r="Y867" s="29"/>
      <c r="Z867" s="29"/>
    </row>
    <row r="868" spans="1:26" ht="15" thickBot="1">
      <c r="A868" s="32" t="s">
        <v>286</v>
      </c>
      <c r="B868" s="29" t="s">
        <v>280</v>
      </c>
      <c r="C868" s="29" t="s">
        <v>274</v>
      </c>
      <c r="D868" s="29" t="s">
        <v>232</v>
      </c>
      <c r="E868" s="29" t="s">
        <v>6</v>
      </c>
      <c r="F868" s="29" t="s">
        <v>238</v>
      </c>
      <c r="G868" s="29" t="s">
        <v>239</v>
      </c>
      <c r="H868" s="32">
        <v>7</v>
      </c>
      <c r="I868" s="32">
        <v>2253.94</v>
      </c>
      <c r="J868" s="32">
        <v>15777.58</v>
      </c>
      <c r="K868" s="29"/>
      <c r="M868" s="29"/>
      <c r="N868" s="29"/>
      <c r="P868" s="29"/>
      <c r="Q868" s="29"/>
      <c r="S868" s="29"/>
      <c r="T868" s="29"/>
      <c r="V868" s="29"/>
      <c r="X868" s="29"/>
      <c r="Y868" s="29"/>
      <c r="Z868" s="29"/>
    </row>
    <row r="869" spans="1:26" ht="15" thickBot="1">
      <c r="A869" s="32" t="s">
        <v>392</v>
      </c>
      <c r="B869" s="29" t="s">
        <v>240</v>
      </c>
      <c r="C869" s="29" t="s">
        <v>241</v>
      </c>
      <c r="D869" s="29" t="s">
        <v>242</v>
      </c>
      <c r="E869" s="29" t="s">
        <v>8</v>
      </c>
      <c r="F869" s="29" t="s">
        <v>250</v>
      </c>
      <c r="G869" s="29" t="s">
        <v>284</v>
      </c>
      <c r="H869" s="32">
        <v>8</v>
      </c>
      <c r="I869" s="32">
        <v>1762.43</v>
      </c>
      <c r="J869" s="32">
        <v>14099.44</v>
      </c>
      <c r="K869" s="29"/>
      <c r="M869" s="29"/>
      <c r="N869" s="29"/>
      <c r="P869" s="29"/>
      <c r="Q869" s="29"/>
      <c r="S869" s="29"/>
      <c r="T869" s="29"/>
      <c r="V869" s="29"/>
      <c r="X869" s="29"/>
      <c r="Y869" s="29"/>
      <c r="Z869" s="29"/>
    </row>
    <row r="870" spans="1:26" ht="15" thickBot="1">
      <c r="A870" s="32" t="s">
        <v>282</v>
      </c>
      <c r="B870" s="29" t="s">
        <v>240</v>
      </c>
      <c r="C870" s="29" t="s">
        <v>236</v>
      </c>
      <c r="D870" s="29" t="s">
        <v>237</v>
      </c>
      <c r="E870" s="29" t="s">
        <v>8</v>
      </c>
      <c r="F870" s="29" t="s">
        <v>233</v>
      </c>
      <c r="G870" s="29" t="s">
        <v>287</v>
      </c>
      <c r="H870" s="32">
        <v>20</v>
      </c>
      <c r="I870" s="32">
        <v>278.55</v>
      </c>
      <c r="J870" s="32">
        <v>5571</v>
      </c>
      <c r="K870" s="29"/>
      <c r="M870" s="29"/>
      <c r="N870" s="29"/>
      <c r="P870" s="29"/>
      <c r="Q870" s="29"/>
      <c r="S870" s="29"/>
      <c r="T870" s="29"/>
      <c r="V870" s="29"/>
      <c r="X870" s="29"/>
      <c r="Y870" s="29"/>
      <c r="Z870" s="29"/>
    </row>
    <row r="871" spans="1:26" ht="15" thickBot="1">
      <c r="A871" s="32" t="s">
        <v>309</v>
      </c>
      <c r="B871" s="29" t="s">
        <v>230</v>
      </c>
      <c r="C871" s="29" t="s">
        <v>231</v>
      </c>
      <c r="D871" s="29" t="s">
        <v>232</v>
      </c>
      <c r="E871" s="29" t="s">
        <v>6</v>
      </c>
      <c r="F871" s="29" t="s">
        <v>233</v>
      </c>
      <c r="G871" s="29" t="s">
        <v>287</v>
      </c>
      <c r="H871" s="32">
        <v>7</v>
      </c>
      <c r="I871" s="32">
        <v>1940.86</v>
      </c>
      <c r="J871" s="32">
        <v>13586.02</v>
      </c>
      <c r="K871" s="29"/>
      <c r="M871" s="29"/>
      <c r="N871" s="29"/>
      <c r="P871" s="29"/>
      <c r="Q871" s="29"/>
      <c r="S871" s="29"/>
      <c r="T871" s="29"/>
      <c r="V871" s="29"/>
      <c r="X871" s="29"/>
      <c r="Y871" s="29"/>
      <c r="Z871" s="29"/>
    </row>
    <row r="872" spans="1:26" ht="15" thickBot="1">
      <c r="A872" s="49">
        <v>44967</v>
      </c>
      <c r="B872" s="29" t="s">
        <v>230</v>
      </c>
      <c r="C872" s="29" t="s">
        <v>236</v>
      </c>
      <c r="D872" s="29" t="s">
        <v>237</v>
      </c>
      <c r="E872" s="29" t="s">
        <v>8</v>
      </c>
      <c r="F872" s="29" t="s">
        <v>250</v>
      </c>
      <c r="G872" s="29" t="s">
        <v>277</v>
      </c>
      <c r="H872" s="32">
        <v>1</v>
      </c>
      <c r="I872" s="32">
        <v>414.64</v>
      </c>
      <c r="J872" s="32">
        <v>414.64</v>
      </c>
      <c r="K872" s="29"/>
      <c r="M872" s="29"/>
      <c r="N872" s="29"/>
      <c r="P872" s="29"/>
      <c r="Q872" s="29"/>
      <c r="S872" s="29"/>
      <c r="T872" s="29"/>
      <c r="V872" s="29"/>
      <c r="X872" s="29"/>
      <c r="Y872" s="29"/>
      <c r="Z872" s="29"/>
    </row>
    <row r="873" spans="1:26" ht="15" thickBot="1">
      <c r="A873" s="49">
        <v>45026</v>
      </c>
      <c r="B873" s="29" t="s">
        <v>240</v>
      </c>
      <c r="C873" s="29" t="s">
        <v>283</v>
      </c>
      <c r="D873" s="29" t="s">
        <v>242</v>
      </c>
      <c r="E873" s="29" t="s">
        <v>8</v>
      </c>
      <c r="F873" s="29" t="s">
        <v>238</v>
      </c>
      <c r="G873" s="29" t="s">
        <v>256</v>
      </c>
      <c r="H873" s="32">
        <v>7</v>
      </c>
      <c r="I873" s="32">
        <v>1073.54</v>
      </c>
      <c r="J873" s="32">
        <v>7514.78</v>
      </c>
      <c r="K873" s="29"/>
      <c r="M873" s="29"/>
      <c r="N873" s="29"/>
      <c r="P873" s="29"/>
      <c r="Q873" s="29"/>
      <c r="S873" s="29"/>
      <c r="T873" s="29"/>
      <c r="V873" s="29"/>
      <c r="X873" s="29"/>
      <c r="Y873" s="29"/>
      <c r="Z873" s="29"/>
    </row>
    <row r="874" spans="1:26" ht="15" thickBot="1">
      <c r="A874" s="49">
        <v>45146</v>
      </c>
      <c r="B874" s="29" t="s">
        <v>257</v>
      </c>
      <c r="C874" s="29" t="s">
        <v>236</v>
      </c>
      <c r="D874" s="29" t="s">
        <v>237</v>
      </c>
      <c r="E874" s="29" t="s">
        <v>8</v>
      </c>
      <c r="F874" s="29" t="s">
        <v>259</v>
      </c>
      <c r="G874" s="29" t="s">
        <v>299</v>
      </c>
      <c r="H874" s="32">
        <v>2</v>
      </c>
      <c r="I874" s="32">
        <v>2078.33</v>
      </c>
      <c r="J874" s="32">
        <v>4156.66</v>
      </c>
      <c r="K874" s="29"/>
      <c r="M874" s="29"/>
      <c r="N874" s="29"/>
      <c r="P874" s="29"/>
      <c r="Q874" s="29"/>
      <c r="S874" s="29"/>
      <c r="T874" s="29"/>
      <c r="V874" s="29"/>
      <c r="X874" s="29"/>
      <c r="Y874" s="29"/>
      <c r="Z874" s="29"/>
    </row>
    <row r="875" spans="1:26" ht="15" thickBot="1">
      <c r="A875" s="32" t="s">
        <v>291</v>
      </c>
      <c r="B875" s="29" t="s">
        <v>248</v>
      </c>
      <c r="C875" s="29" t="s">
        <v>313</v>
      </c>
      <c r="D875" s="29" t="s">
        <v>252</v>
      </c>
      <c r="E875" s="29" t="s">
        <v>5</v>
      </c>
      <c r="F875" s="29" t="s">
        <v>233</v>
      </c>
      <c r="G875" s="29" t="s">
        <v>301</v>
      </c>
      <c r="H875" s="32">
        <v>15</v>
      </c>
      <c r="I875" s="32">
        <v>4188.84</v>
      </c>
      <c r="J875" s="32">
        <v>62832.6</v>
      </c>
      <c r="K875" s="29"/>
      <c r="M875" s="29"/>
      <c r="N875" s="29"/>
      <c r="P875" s="29"/>
      <c r="Q875" s="29"/>
      <c r="S875" s="29"/>
      <c r="T875" s="29"/>
      <c r="V875" s="29"/>
      <c r="X875" s="29"/>
      <c r="Y875" s="29"/>
      <c r="Z875" s="29"/>
    </row>
    <row r="876" spans="1:26" ht="15" thickBot="1">
      <c r="A876" s="49">
        <v>45175</v>
      </c>
      <c r="B876" s="29" t="s">
        <v>268</v>
      </c>
      <c r="C876" s="29" t="s">
        <v>236</v>
      </c>
      <c r="D876" s="29" t="s">
        <v>237</v>
      </c>
      <c r="E876" s="29" t="s">
        <v>8</v>
      </c>
      <c r="F876" s="29" t="s">
        <v>245</v>
      </c>
      <c r="G876" s="29" t="s">
        <v>295</v>
      </c>
      <c r="H876" s="32">
        <v>16</v>
      </c>
      <c r="I876" s="32">
        <v>3046.66</v>
      </c>
      <c r="J876" s="32">
        <v>48746.559999999998</v>
      </c>
      <c r="K876" s="29"/>
      <c r="M876" s="29"/>
      <c r="N876" s="29"/>
      <c r="P876" s="29"/>
      <c r="Q876" s="29"/>
      <c r="S876" s="29"/>
      <c r="T876" s="29"/>
      <c r="V876" s="29"/>
      <c r="X876" s="29"/>
      <c r="Y876" s="29"/>
      <c r="Z876" s="29"/>
    </row>
    <row r="877" spans="1:26" ht="15" thickBot="1">
      <c r="A877" s="49">
        <v>45085</v>
      </c>
      <c r="B877" s="29" t="s">
        <v>257</v>
      </c>
      <c r="C877" s="29" t="s">
        <v>236</v>
      </c>
      <c r="D877" s="29" t="s">
        <v>237</v>
      </c>
      <c r="E877" s="29" t="s">
        <v>8</v>
      </c>
      <c r="F877" s="29" t="s">
        <v>245</v>
      </c>
      <c r="G877" s="29" t="s">
        <v>295</v>
      </c>
      <c r="H877" s="32">
        <v>13</v>
      </c>
      <c r="I877" s="32">
        <v>566.55999999999995</v>
      </c>
      <c r="J877" s="32">
        <v>7365.28</v>
      </c>
      <c r="K877" s="29"/>
      <c r="M877" s="29"/>
      <c r="N877" s="29"/>
      <c r="P877" s="29"/>
      <c r="Q877" s="29"/>
      <c r="S877" s="29"/>
      <c r="T877" s="29"/>
      <c r="V877" s="29"/>
      <c r="X877" s="29"/>
      <c r="Y877" s="29"/>
      <c r="Z877" s="29"/>
    </row>
    <row r="878" spans="1:26" ht="15" thickBot="1">
      <c r="A878" s="49">
        <v>45207</v>
      </c>
      <c r="B878" s="29" t="s">
        <v>257</v>
      </c>
      <c r="C878" s="29" t="s">
        <v>281</v>
      </c>
      <c r="D878" s="29" t="s">
        <v>252</v>
      </c>
      <c r="E878" s="29" t="s">
        <v>5</v>
      </c>
      <c r="F878" s="29" t="s">
        <v>259</v>
      </c>
      <c r="G878" s="29" t="s">
        <v>299</v>
      </c>
      <c r="H878" s="32">
        <v>9</v>
      </c>
      <c r="I878" s="32">
        <v>4726.68</v>
      </c>
      <c r="J878" s="32">
        <v>42540.12</v>
      </c>
      <c r="K878" s="29"/>
      <c r="M878" s="29"/>
      <c r="N878" s="29"/>
      <c r="P878" s="29"/>
      <c r="Q878" s="29"/>
      <c r="S878" s="29"/>
      <c r="T878" s="29"/>
      <c r="V878" s="29"/>
      <c r="X878" s="29"/>
      <c r="Y878" s="29"/>
      <c r="Z878" s="29"/>
    </row>
    <row r="879" spans="1:26" ht="15" thickBot="1">
      <c r="A879" s="32" t="s">
        <v>354</v>
      </c>
      <c r="B879" s="29" t="s">
        <v>280</v>
      </c>
      <c r="C879" s="29" t="s">
        <v>283</v>
      </c>
      <c r="D879" s="29" t="s">
        <v>242</v>
      </c>
      <c r="E879" s="29" t="s">
        <v>8</v>
      </c>
      <c r="F879" s="29" t="s">
        <v>245</v>
      </c>
      <c r="G879" s="29" t="s">
        <v>295</v>
      </c>
      <c r="H879" s="32">
        <v>15</v>
      </c>
      <c r="I879" s="32">
        <v>2503.4699999999998</v>
      </c>
      <c r="J879" s="32">
        <v>37552.050000000003</v>
      </c>
      <c r="K879" s="29"/>
      <c r="M879" s="29"/>
      <c r="N879" s="29"/>
      <c r="P879" s="29"/>
      <c r="Q879" s="29"/>
      <c r="S879" s="29"/>
      <c r="T879" s="29"/>
      <c r="V879" s="29"/>
      <c r="X879" s="29"/>
      <c r="Y879" s="29"/>
      <c r="Z879" s="29"/>
    </row>
    <row r="880" spans="1:26" ht="15" thickBot="1">
      <c r="A880" s="49">
        <v>45237</v>
      </c>
      <c r="B880" s="29" t="s">
        <v>240</v>
      </c>
      <c r="C880" s="29" t="s">
        <v>283</v>
      </c>
      <c r="D880" s="29" t="s">
        <v>242</v>
      </c>
      <c r="E880" s="29" t="s">
        <v>8</v>
      </c>
      <c r="F880" s="29" t="s">
        <v>250</v>
      </c>
      <c r="G880" s="29" t="s">
        <v>277</v>
      </c>
      <c r="H880" s="32">
        <v>13</v>
      </c>
      <c r="I880" s="32">
        <v>2244.77</v>
      </c>
      <c r="J880" s="32">
        <v>29182.01</v>
      </c>
      <c r="K880" s="29"/>
      <c r="M880" s="29"/>
      <c r="N880" s="29"/>
      <c r="P880" s="29"/>
      <c r="Q880" s="29"/>
      <c r="S880" s="29"/>
      <c r="T880" s="29"/>
      <c r="V880" s="29"/>
      <c r="X880" s="29"/>
      <c r="Y880" s="29"/>
      <c r="Z880" s="29"/>
    </row>
    <row r="881" spans="1:26" ht="15" thickBot="1">
      <c r="A881" s="49">
        <v>45242</v>
      </c>
      <c r="B881" s="29" t="s">
        <v>260</v>
      </c>
      <c r="C881" s="29" t="s">
        <v>274</v>
      </c>
      <c r="D881" s="29" t="s">
        <v>232</v>
      </c>
      <c r="E881" s="29" t="s">
        <v>6</v>
      </c>
      <c r="F881" s="29" t="s">
        <v>238</v>
      </c>
      <c r="G881" s="29" t="s">
        <v>239</v>
      </c>
      <c r="H881" s="32">
        <v>18</v>
      </c>
      <c r="I881" s="32">
        <v>3559.2</v>
      </c>
      <c r="J881" s="32">
        <v>64065.599999999999</v>
      </c>
      <c r="K881" s="29"/>
      <c r="M881" s="29"/>
      <c r="N881" s="29"/>
      <c r="P881" s="29"/>
      <c r="Q881" s="29"/>
      <c r="S881" s="29"/>
      <c r="T881" s="29"/>
      <c r="V881" s="29"/>
      <c r="X881" s="29"/>
      <c r="Y881" s="29"/>
      <c r="Z881" s="29"/>
    </row>
    <row r="882" spans="1:26" ht="15" thickBot="1">
      <c r="A882" s="32" t="s">
        <v>416</v>
      </c>
      <c r="B882" s="29" t="s">
        <v>248</v>
      </c>
      <c r="C882" s="29" t="s">
        <v>258</v>
      </c>
      <c r="D882" s="29" t="s">
        <v>242</v>
      </c>
      <c r="E882" s="29" t="s">
        <v>8</v>
      </c>
      <c r="F882" s="29" t="s">
        <v>245</v>
      </c>
      <c r="G882" s="29" t="s">
        <v>295</v>
      </c>
      <c r="H882" s="32">
        <v>16</v>
      </c>
      <c r="I882" s="32">
        <v>4238.6400000000003</v>
      </c>
      <c r="J882" s="32">
        <v>67818.240000000005</v>
      </c>
      <c r="K882" s="29"/>
      <c r="M882" s="29"/>
      <c r="N882" s="29"/>
      <c r="P882" s="29"/>
      <c r="Q882" s="29"/>
      <c r="S882" s="29"/>
      <c r="T882" s="29"/>
      <c r="V882" s="29"/>
      <c r="X882" s="29"/>
      <c r="Y882" s="29"/>
      <c r="Z882" s="29"/>
    </row>
    <row r="883" spans="1:26" ht="15" thickBot="1">
      <c r="A883" s="32" t="s">
        <v>342</v>
      </c>
      <c r="B883" s="29" t="s">
        <v>254</v>
      </c>
      <c r="C883" s="29" t="s">
        <v>249</v>
      </c>
      <c r="D883" s="29" t="s">
        <v>232</v>
      </c>
      <c r="E883" s="29" t="s">
        <v>6</v>
      </c>
      <c r="F883" s="29" t="s">
        <v>245</v>
      </c>
      <c r="G883" s="29" t="s">
        <v>295</v>
      </c>
      <c r="H883" s="32">
        <v>13</v>
      </c>
      <c r="I883" s="32">
        <v>151.65</v>
      </c>
      <c r="J883" s="32">
        <v>1971.45</v>
      </c>
      <c r="K883" s="29"/>
      <c r="M883" s="29"/>
      <c r="N883" s="29"/>
      <c r="P883" s="29"/>
      <c r="Q883" s="29"/>
      <c r="S883" s="29"/>
      <c r="T883" s="29"/>
      <c r="V883" s="29"/>
      <c r="X883" s="29"/>
      <c r="Y883" s="29"/>
      <c r="Z883" s="29"/>
    </row>
    <row r="884" spans="1:26" ht="15" thickBot="1">
      <c r="A884" s="49">
        <v>45175</v>
      </c>
      <c r="B884" s="29" t="s">
        <v>230</v>
      </c>
      <c r="C884" s="29" t="s">
        <v>249</v>
      </c>
      <c r="D884" s="29" t="s">
        <v>232</v>
      </c>
      <c r="E884" s="29" t="s">
        <v>6</v>
      </c>
      <c r="F884" s="29" t="s">
        <v>233</v>
      </c>
      <c r="G884" s="29" t="s">
        <v>304</v>
      </c>
      <c r="H884" s="32">
        <v>11</v>
      </c>
      <c r="I884" s="32">
        <v>4242.8999999999996</v>
      </c>
      <c r="J884" s="32">
        <v>46671.9</v>
      </c>
      <c r="K884" s="29"/>
      <c r="M884" s="29"/>
      <c r="N884" s="29"/>
      <c r="P884" s="29"/>
      <c r="Q884" s="29"/>
      <c r="S884" s="29"/>
      <c r="T884" s="29"/>
      <c r="V884" s="29"/>
      <c r="X884" s="29"/>
      <c r="Y884" s="29"/>
      <c r="Z884" s="29"/>
    </row>
    <row r="885" spans="1:26" ht="15" thickBot="1">
      <c r="A885" s="32" t="s">
        <v>348</v>
      </c>
      <c r="B885" s="29" t="s">
        <v>235</v>
      </c>
      <c r="C885" s="29" t="s">
        <v>276</v>
      </c>
      <c r="D885" s="29" t="s">
        <v>247</v>
      </c>
      <c r="E885" s="29" t="s">
        <v>6</v>
      </c>
      <c r="F885" s="29" t="s">
        <v>250</v>
      </c>
      <c r="G885" s="29" t="s">
        <v>251</v>
      </c>
      <c r="H885" s="32">
        <v>9</v>
      </c>
      <c r="I885" s="32">
        <v>4639.93</v>
      </c>
      <c r="J885" s="32">
        <v>41759.370000000003</v>
      </c>
      <c r="K885" s="29"/>
      <c r="M885" s="29"/>
      <c r="N885" s="29"/>
      <c r="P885" s="29"/>
      <c r="Q885" s="29"/>
      <c r="S885" s="29"/>
      <c r="T885" s="29"/>
      <c r="V885" s="29"/>
      <c r="X885" s="29"/>
      <c r="Y885" s="29"/>
      <c r="Z885" s="29"/>
    </row>
    <row r="886" spans="1:26" ht="15" thickBot="1">
      <c r="A886" s="32" t="s">
        <v>456</v>
      </c>
      <c r="B886" s="29" t="s">
        <v>260</v>
      </c>
      <c r="C886" s="29" t="s">
        <v>244</v>
      </c>
      <c r="D886" s="29" t="s">
        <v>237</v>
      </c>
      <c r="E886" s="29" t="s">
        <v>8</v>
      </c>
      <c r="F886" s="29" t="s">
        <v>245</v>
      </c>
      <c r="G886" s="29" t="s">
        <v>266</v>
      </c>
      <c r="H886" s="32">
        <v>4</v>
      </c>
      <c r="I886" s="32">
        <v>4336.92</v>
      </c>
      <c r="J886" s="32">
        <v>17347.68</v>
      </c>
      <c r="K886" s="29"/>
      <c r="M886" s="29"/>
      <c r="N886" s="29"/>
      <c r="P886" s="29"/>
      <c r="Q886" s="29"/>
      <c r="S886" s="29"/>
      <c r="T886" s="29"/>
      <c r="V886" s="29"/>
      <c r="X886" s="29"/>
      <c r="Y886" s="29"/>
      <c r="Z886" s="29"/>
    </row>
    <row r="887" spans="1:26" ht="15" thickBot="1">
      <c r="A887" s="32" t="s">
        <v>315</v>
      </c>
      <c r="B887" s="29" t="s">
        <v>230</v>
      </c>
      <c r="C887" s="29" t="s">
        <v>273</v>
      </c>
      <c r="D887" s="29" t="s">
        <v>252</v>
      </c>
      <c r="E887" s="29" t="s">
        <v>5</v>
      </c>
      <c r="F887" s="29" t="s">
        <v>233</v>
      </c>
      <c r="G887" s="29" t="s">
        <v>234</v>
      </c>
      <c r="H887" s="32">
        <v>17</v>
      </c>
      <c r="I887" s="32">
        <v>1005.44</v>
      </c>
      <c r="J887" s="32">
        <v>17092.48</v>
      </c>
      <c r="K887" s="29"/>
      <c r="M887" s="29"/>
      <c r="N887" s="29"/>
      <c r="P887" s="29"/>
      <c r="Q887" s="29"/>
      <c r="S887" s="29"/>
      <c r="T887" s="29"/>
      <c r="V887" s="29"/>
      <c r="X887" s="29"/>
      <c r="Y887" s="29"/>
      <c r="Z887" s="29"/>
    </row>
    <row r="888" spans="1:26" ht="15" thickBot="1">
      <c r="A888" s="49">
        <v>45233</v>
      </c>
      <c r="B888" s="29" t="s">
        <v>235</v>
      </c>
      <c r="C888" s="29" t="s">
        <v>258</v>
      </c>
      <c r="D888" s="29" t="s">
        <v>242</v>
      </c>
      <c r="E888" s="29" t="s">
        <v>8</v>
      </c>
      <c r="F888" s="29" t="s">
        <v>233</v>
      </c>
      <c r="G888" s="29" t="s">
        <v>301</v>
      </c>
      <c r="H888" s="32">
        <v>18</v>
      </c>
      <c r="I888" s="32">
        <v>2231.56</v>
      </c>
      <c r="J888" s="32">
        <v>40168.080000000002</v>
      </c>
      <c r="K888" s="29"/>
      <c r="M888" s="29"/>
      <c r="N888" s="29"/>
      <c r="P888" s="29"/>
      <c r="Q888" s="29"/>
      <c r="S888" s="29"/>
      <c r="T888" s="29"/>
      <c r="V888" s="29"/>
      <c r="X888" s="29"/>
      <c r="Y888" s="29"/>
      <c r="Z888" s="29"/>
    </row>
    <row r="889" spans="1:26" ht="15" thickBot="1">
      <c r="A889" s="49">
        <v>45237</v>
      </c>
      <c r="B889" s="29" t="s">
        <v>230</v>
      </c>
      <c r="C889" s="29" t="s">
        <v>274</v>
      </c>
      <c r="D889" s="29" t="s">
        <v>232</v>
      </c>
      <c r="E889" s="29" t="s">
        <v>6</v>
      </c>
      <c r="F889" s="29" t="s">
        <v>233</v>
      </c>
      <c r="G889" s="29" t="s">
        <v>287</v>
      </c>
      <c r="H889" s="32">
        <v>14</v>
      </c>
      <c r="I889" s="32">
        <v>3677.67</v>
      </c>
      <c r="J889" s="32">
        <v>51487.38</v>
      </c>
      <c r="K889" s="29"/>
      <c r="M889" s="29"/>
      <c r="N889" s="29"/>
      <c r="P889" s="29"/>
      <c r="Q889" s="29"/>
      <c r="S889" s="29"/>
      <c r="T889" s="29"/>
      <c r="V889" s="29"/>
      <c r="X889" s="29"/>
      <c r="Y889" s="29"/>
      <c r="Z889" s="29"/>
    </row>
    <row r="890" spans="1:26" ht="15" thickBot="1">
      <c r="A890" s="32" t="s">
        <v>324</v>
      </c>
      <c r="B890" s="29" t="s">
        <v>240</v>
      </c>
      <c r="C890" s="29" t="s">
        <v>244</v>
      </c>
      <c r="D890" s="29" t="s">
        <v>237</v>
      </c>
      <c r="E890" s="29" t="s">
        <v>8</v>
      </c>
      <c r="F890" s="29" t="s">
        <v>259</v>
      </c>
      <c r="G890" s="29" t="s">
        <v>299</v>
      </c>
      <c r="H890" s="32">
        <v>6</v>
      </c>
      <c r="I890" s="32">
        <v>1047.72</v>
      </c>
      <c r="J890" s="32">
        <v>6286.32</v>
      </c>
      <c r="K890" s="29"/>
      <c r="M890" s="29"/>
      <c r="N890" s="29"/>
      <c r="P890" s="29"/>
      <c r="Q890" s="29"/>
      <c r="S890" s="29"/>
      <c r="T890" s="29"/>
      <c r="V890" s="29"/>
      <c r="X890" s="29"/>
      <c r="Y890" s="29"/>
      <c r="Z890" s="29"/>
    </row>
    <row r="891" spans="1:26" ht="15" thickBot="1">
      <c r="A891" s="32" t="s">
        <v>363</v>
      </c>
      <c r="B891" s="29" t="s">
        <v>235</v>
      </c>
      <c r="C891" s="29" t="s">
        <v>244</v>
      </c>
      <c r="D891" s="29" t="s">
        <v>237</v>
      </c>
      <c r="E891" s="29" t="s">
        <v>8</v>
      </c>
      <c r="F891" s="29" t="s">
        <v>238</v>
      </c>
      <c r="G891" s="29" t="s">
        <v>303</v>
      </c>
      <c r="H891" s="32">
        <v>20</v>
      </c>
      <c r="I891" s="32">
        <v>827.08</v>
      </c>
      <c r="J891" s="32">
        <v>16541.599999999999</v>
      </c>
      <c r="K891" s="29"/>
      <c r="M891" s="29"/>
      <c r="N891" s="29"/>
      <c r="P891" s="29"/>
      <c r="Q891" s="29"/>
      <c r="S891" s="29"/>
      <c r="T891" s="29"/>
      <c r="V891" s="29"/>
      <c r="X891" s="29"/>
      <c r="Y891" s="29"/>
      <c r="Z891" s="29"/>
    </row>
    <row r="892" spans="1:26" ht="15" thickBot="1">
      <c r="A892" s="32" t="s">
        <v>466</v>
      </c>
      <c r="B892" s="29" t="s">
        <v>235</v>
      </c>
      <c r="C892" s="29" t="s">
        <v>283</v>
      </c>
      <c r="D892" s="29" t="s">
        <v>242</v>
      </c>
      <c r="E892" s="29" t="s">
        <v>8</v>
      </c>
      <c r="F892" s="29" t="s">
        <v>238</v>
      </c>
      <c r="G892" s="29" t="s">
        <v>256</v>
      </c>
      <c r="H892" s="32">
        <v>19</v>
      </c>
      <c r="I892" s="32">
        <v>1726.65</v>
      </c>
      <c r="J892" s="32">
        <v>32806.35</v>
      </c>
      <c r="K892" s="29"/>
      <c r="M892" s="29"/>
      <c r="N892" s="29"/>
      <c r="P892" s="29"/>
      <c r="Q892" s="29"/>
      <c r="S892" s="29"/>
      <c r="T892" s="29"/>
      <c r="V892" s="29"/>
      <c r="X892" s="29"/>
      <c r="Y892" s="29"/>
      <c r="Z892" s="29"/>
    </row>
    <row r="893" spans="1:26" ht="15" thickBot="1">
      <c r="A893" s="49">
        <v>45143</v>
      </c>
      <c r="B893" s="29" t="s">
        <v>254</v>
      </c>
      <c r="C893" s="29" t="s">
        <v>241</v>
      </c>
      <c r="D893" s="29" t="s">
        <v>242</v>
      </c>
      <c r="E893" s="29" t="s">
        <v>8</v>
      </c>
      <c r="F893" s="29" t="s">
        <v>238</v>
      </c>
      <c r="G893" s="29" t="s">
        <v>296</v>
      </c>
      <c r="H893" s="32">
        <v>17</v>
      </c>
      <c r="I893" s="32">
        <v>2339.5700000000002</v>
      </c>
      <c r="J893" s="32">
        <v>39772.69</v>
      </c>
      <c r="K893" s="29"/>
      <c r="M893" s="29"/>
      <c r="N893" s="29"/>
      <c r="P893" s="29"/>
      <c r="Q893" s="29"/>
      <c r="S893" s="29"/>
      <c r="T893" s="29"/>
      <c r="V893" s="29"/>
      <c r="X893" s="29"/>
      <c r="Y893" s="29"/>
      <c r="Z893" s="29"/>
    </row>
    <row r="894" spans="1:26" ht="15" thickBot="1">
      <c r="A894" s="49">
        <v>44962</v>
      </c>
      <c r="B894" s="29" t="s">
        <v>254</v>
      </c>
      <c r="C894" s="29" t="s">
        <v>244</v>
      </c>
      <c r="D894" s="29" t="s">
        <v>237</v>
      </c>
      <c r="E894" s="29" t="s">
        <v>8</v>
      </c>
      <c r="F894" s="29" t="s">
        <v>245</v>
      </c>
      <c r="G894" s="29" t="s">
        <v>266</v>
      </c>
      <c r="H894" s="32">
        <v>8</v>
      </c>
      <c r="I894" s="32">
        <v>4984.96</v>
      </c>
      <c r="J894" s="32">
        <v>39879.68</v>
      </c>
      <c r="K894" s="29"/>
      <c r="M894" s="29"/>
      <c r="N894" s="29"/>
      <c r="P894" s="29"/>
      <c r="Q894" s="29"/>
      <c r="S894" s="29"/>
      <c r="T894" s="29"/>
      <c r="V894" s="29"/>
      <c r="X894" s="29"/>
      <c r="Y894" s="29"/>
      <c r="Z894" s="29"/>
    </row>
    <row r="895" spans="1:26" ht="15" thickBot="1">
      <c r="A895" s="49">
        <v>45021</v>
      </c>
      <c r="B895" s="29" t="s">
        <v>280</v>
      </c>
      <c r="C895" s="29" t="s">
        <v>281</v>
      </c>
      <c r="D895" s="29" t="s">
        <v>252</v>
      </c>
      <c r="E895" s="29" t="s">
        <v>5</v>
      </c>
      <c r="F895" s="29" t="s">
        <v>259</v>
      </c>
      <c r="G895" s="29" t="s">
        <v>298</v>
      </c>
      <c r="H895" s="32">
        <v>17</v>
      </c>
      <c r="I895" s="32">
        <v>3259.21</v>
      </c>
      <c r="J895" s="32">
        <v>55406.57</v>
      </c>
      <c r="K895" s="29"/>
      <c r="M895" s="29"/>
      <c r="N895" s="29"/>
      <c r="P895" s="29"/>
      <c r="Q895" s="29"/>
      <c r="S895" s="29"/>
      <c r="T895" s="29"/>
      <c r="V895" s="29"/>
      <c r="X895" s="29"/>
      <c r="Y895" s="29"/>
      <c r="Z895" s="29"/>
    </row>
    <row r="896" spans="1:26" ht="15" thickBot="1">
      <c r="A896" s="32" t="s">
        <v>396</v>
      </c>
      <c r="B896" s="29" t="s">
        <v>235</v>
      </c>
      <c r="C896" s="29" t="s">
        <v>236</v>
      </c>
      <c r="D896" s="29" t="s">
        <v>237</v>
      </c>
      <c r="E896" s="29" t="s">
        <v>8</v>
      </c>
      <c r="F896" s="29" t="s">
        <v>233</v>
      </c>
      <c r="G896" s="29" t="s">
        <v>234</v>
      </c>
      <c r="H896" s="32">
        <v>7</v>
      </c>
      <c r="I896" s="32">
        <v>4847.62</v>
      </c>
      <c r="J896" s="32">
        <v>33933.339999999997</v>
      </c>
      <c r="K896" s="29"/>
      <c r="M896" s="29"/>
      <c r="N896" s="29"/>
      <c r="P896" s="29"/>
      <c r="Q896" s="29"/>
      <c r="S896" s="29"/>
      <c r="T896" s="29"/>
      <c r="V896" s="29"/>
      <c r="X896" s="29"/>
      <c r="Y896" s="29"/>
      <c r="Z896" s="29"/>
    </row>
    <row r="897" spans="1:26" ht="15" thickBot="1">
      <c r="A897" s="32" t="s">
        <v>486</v>
      </c>
      <c r="B897" s="29" t="s">
        <v>240</v>
      </c>
      <c r="C897" s="29" t="s">
        <v>255</v>
      </c>
      <c r="D897" s="29" t="s">
        <v>237</v>
      </c>
      <c r="E897" s="29" t="s">
        <v>8</v>
      </c>
      <c r="F897" s="29" t="s">
        <v>250</v>
      </c>
      <c r="G897" s="29" t="s">
        <v>277</v>
      </c>
      <c r="H897" s="32">
        <v>6</v>
      </c>
      <c r="I897" s="32">
        <v>2260.16</v>
      </c>
      <c r="J897" s="32">
        <v>13560.96</v>
      </c>
      <c r="K897" s="29"/>
      <c r="M897" s="29"/>
      <c r="N897" s="29"/>
      <c r="P897" s="29"/>
      <c r="Q897" s="29"/>
      <c r="S897" s="29"/>
      <c r="T897" s="29"/>
      <c r="V897" s="29"/>
      <c r="X897" s="29"/>
      <c r="Y897" s="29"/>
      <c r="Z897" s="29"/>
    </row>
    <row r="898" spans="1:26" ht="15" thickBot="1">
      <c r="A898" s="49">
        <v>45269</v>
      </c>
      <c r="B898" s="29" t="s">
        <v>257</v>
      </c>
      <c r="C898" s="29" t="s">
        <v>313</v>
      </c>
      <c r="D898" s="29" t="s">
        <v>252</v>
      </c>
      <c r="E898" s="29" t="s">
        <v>5</v>
      </c>
      <c r="F898" s="29" t="s">
        <v>233</v>
      </c>
      <c r="G898" s="29" t="s">
        <v>287</v>
      </c>
      <c r="H898" s="32">
        <v>16</v>
      </c>
      <c r="I898" s="32">
        <v>1795.37</v>
      </c>
      <c r="J898" s="32">
        <v>28725.919999999998</v>
      </c>
      <c r="K898" s="29"/>
      <c r="M898" s="29"/>
      <c r="N898" s="29"/>
      <c r="P898" s="29"/>
      <c r="Q898" s="29"/>
      <c r="S898" s="29"/>
      <c r="T898" s="29"/>
      <c r="V898" s="29"/>
      <c r="X898" s="29"/>
      <c r="Y898" s="29"/>
      <c r="Z898" s="29"/>
    </row>
    <row r="899" spans="1:26" ht="15" thickBot="1">
      <c r="A899" s="49">
        <v>44990</v>
      </c>
      <c r="B899" s="29" t="s">
        <v>257</v>
      </c>
      <c r="C899" s="29" t="s">
        <v>316</v>
      </c>
      <c r="D899" s="29" t="s">
        <v>247</v>
      </c>
      <c r="E899" s="29" t="s">
        <v>6</v>
      </c>
      <c r="F899" s="29" t="s">
        <v>259</v>
      </c>
      <c r="G899" s="29" t="s">
        <v>299</v>
      </c>
      <c r="H899" s="32">
        <v>19</v>
      </c>
      <c r="I899" s="32">
        <v>2040.79</v>
      </c>
      <c r="J899" s="32">
        <v>38775.01</v>
      </c>
      <c r="K899" s="29"/>
      <c r="M899" s="29"/>
      <c r="N899" s="29"/>
      <c r="P899" s="29"/>
      <c r="Q899" s="29"/>
      <c r="S899" s="29"/>
      <c r="T899" s="29"/>
      <c r="V899" s="29"/>
      <c r="X899" s="29"/>
      <c r="Y899" s="29"/>
      <c r="Z899" s="29"/>
    </row>
    <row r="900" spans="1:26" ht="15" thickBot="1">
      <c r="A900" s="32" t="s">
        <v>487</v>
      </c>
      <c r="B900" s="29" t="s">
        <v>271</v>
      </c>
      <c r="C900" s="29" t="s">
        <v>283</v>
      </c>
      <c r="D900" s="29" t="s">
        <v>242</v>
      </c>
      <c r="E900" s="29" t="s">
        <v>8</v>
      </c>
      <c r="F900" s="29" t="s">
        <v>233</v>
      </c>
      <c r="G900" s="29" t="s">
        <v>304</v>
      </c>
      <c r="H900" s="32">
        <v>13</v>
      </c>
      <c r="I900" s="32">
        <v>1764.64</v>
      </c>
      <c r="J900" s="32">
        <v>22940.32</v>
      </c>
      <c r="K900" s="29"/>
      <c r="M900" s="29"/>
      <c r="N900" s="29"/>
      <c r="P900" s="29"/>
      <c r="Q900" s="29"/>
      <c r="S900" s="29"/>
      <c r="T900" s="29"/>
      <c r="V900" s="29"/>
      <c r="X900" s="29"/>
      <c r="Y900" s="29"/>
      <c r="Z900" s="29"/>
    </row>
    <row r="901" spans="1:26" ht="15" thickBot="1">
      <c r="A901" s="32" t="s">
        <v>479</v>
      </c>
      <c r="B901" s="29" t="s">
        <v>230</v>
      </c>
      <c r="C901" s="29" t="s">
        <v>236</v>
      </c>
      <c r="D901" s="29" t="s">
        <v>237</v>
      </c>
      <c r="E901" s="29" t="s">
        <v>8</v>
      </c>
      <c r="F901" s="29" t="s">
        <v>250</v>
      </c>
      <c r="G901" s="29" t="s">
        <v>277</v>
      </c>
      <c r="H901" s="32">
        <v>6</v>
      </c>
      <c r="I901" s="32">
        <v>746.23</v>
      </c>
      <c r="J901" s="32">
        <v>4477.38</v>
      </c>
      <c r="K901" s="29"/>
      <c r="M901" s="29"/>
      <c r="N901" s="29"/>
      <c r="P901" s="29"/>
      <c r="Q901" s="29"/>
      <c r="S901" s="29"/>
      <c r="T901" s="29"/>
      <c r="V901" s="29"/>
      <c r="X901" s="29"/>
      <c r="Y901" s="29"/>
      <c r="Z901" s="29"/>
    </row>
    <row r="902" spans="1:26" ht="15" thickBot="1">
      <c r="A902" s="49">
        <v>45210</v>
      </c>
      <c r="B902" s="29" t="s">
        <v>240</v>
      </c>
      <c r="C902" s="29" t="s">
        <v>313</v>
      </c>
      <c r="D902" s="29" t="s">
        <v>252</v>
      </c>
      <c r="E902" s="29" t="s">
        <v>5</v>
      </c>
      <c r="F902" s="29" t="s">
        <v>233</v>
      </c>
      <c r="G902" s="29" t="s">
        <v>301</v>
      </c>
      <c r="H902" s="32">
        <v>14</v>
      </c>
      <c r="I902" s="32">
        <v>2385.9899999999998</v>
      </c>
      <c r="J902" s="32">
        <v>33403.86</v>
      </c>
      <c r="K902" s="29"/>
      <c r="M902" s="29"/>
      <c r="N902" s="29"/>
      <c r="P902" s="29"/>
      <c r="Q902" s="29"/>
      <c r="S902" s="29"/>
      <c r="T902" s="29"/>
      <c r="V902" s="29"/>
      <c r="X902" s="29"/>
      <c r="Y902" s="29"/>
      <c r="Z902" s="29"/>
    </row>
    <row r="903" spans="1:26" ht="15" thickBot="1">
      <c r="A903" s="49">
        <v>45264</v>
      </c>
      <c r="B903" s="29" t="s">
        <v>230</v>
      </c>
      <c r="C903" s="29" t="s">
        <v>316</v>
      </c>
      <c r="D903" s="29" t="s">
        <v>247</v>
      </c>
      <c r="E903" s="29" t="s">
        <v>6</v>
      </c>
      <c r="F903" s="29" t="s">
        <v>259</v>
      </c>
      <c r="G903" s="29" t="s">
        <v>179</v>
      </c>
      <c r="H903" s="32">
        <v>1</v>
      </c>
      <c r="I903" s="32">
        <v>2362.15</v>
      </c>
      <c r="J903" s="32">
        <v>2362.15</v>
      </c>
      <c r="K903" s="29"/>
      <c r="M903" s="29"/>
      <c r="N903" s="29"/>
      <c r="P903" s="29"/>
      <c r="Q903" s="29"/>
      <c r="S903" s="29"/>
      <c r="T903" s="29"/>
      <c r="V903" s="29"/>
      <c r="X903" s="29"/>
      <c r="Y903" s="29"/>
      <c r="Z903" s="29"/>
    </row>
    <row r="904" spans="1:26" ht="15" thickBot="1">
      <c r="A904" s="32" t="s">
        <v>319</v>
      </c>
      <c r="B904" s="29" t="s">
        <v>257</v>
      </c>
      <c r="C904" s="29" t="s">
        <v>313</v>
      </c>
      <c r="D904" s="29" t="s">
        <v>252</v>
      </c>
      <c r="E904" s="29" t="s">
        <v>5</v>
      </c>
      <c r="F904" s="29" t="s">
        <v>245</v>
      </c>
      <c r="G904" s="29" t="s">
        <v>266</v>
      </c>
      <c r="H904" s="32">
        <v>16</v>
      </c>
      <c r="I904" s="32">
        <v>1236.8</v>
      </c>
      <c r="J904" s="32">
        <v>19788.8</v>
      </c>
      <c r="K904" s="29"/>
      <c r="M904" s="29"/>
      <c r="N904" s="29"/>
      <c r="P904" s="29"/>
      <c r="Q904" s="29"/>
      <c r="S904" s="29"/>
      <c r="T904" s="29"/>
      <c r="V904" s="29"/>
      <c r="X904" s="29"/>
      <c r="Y904" s="29"/>
      <c r="Z904" s="29"/>
    </row>
    <row r="905" spans="1:26" ht="15" thickBot="1">
      <c r="A905" s="49">
        <v>45140</v>
      </c>
      <c r="B905" s="29" t="s">
        <v>248</v>
      </c>
      <c r="C905" s="29" t="s">
        <v>313</v>
      </c>
      <c r="D905" s="29" t="s">
        <v>252</v>
      </c>
      <c r="E905" s="29" t="s">
        <v>5</v>
      </c>
      <c r="F905" s="29" t="s">
        <v>259</v>
      </c>
      <c r="G905" s="29" t="s">
        <v>182</v>
      </c>
      <c r="H905" s="32">
        <v>17</v>
      </c>
      <c r="I905" s="32">
        <v>1248.03</v>
      </c>
      <c r="J905" s="32">
        <v>21216.51</v>
      </c>
      <c r="K905" s="29"/>
      <c r="M905" s="29"/>
      <c r="N905" s="29"/>
      <c r="P905" s="29"/>
      <c r="Q905" s="29"/>
      <c r="S905" s="29"/>
      <c r="T905" s="29"/>
      <c r="V905" s="29"/>
      <c r="X905" s="29"/>
      <c r="Y905" s="29"/>
      <c r="Z905" s="29"/>
    </row>
    <row r="906" spans="1:26" ht="15" thickBot="1">
      <c r="A906" s="49">
        <v>44991</v>
      </c>
      <c r="B906" s="29" t="s">
        <v>271</v>
      </c>
      <c r="C906" s="29" t="s">
        <v>281</v>
      </c>
      <c r="D906" s="29" t="s">
        <v>252</v>
      </c>
      <c r="E906" s="29" t="s">
        <v>5</v>
      </c>
      <c r="F906" s="29" t="s">
        <v>238</v>
      </c>
      <c r="G906" s="29" t="s">
        <v>256</v>
      </c>
      <c r="H906" s="32">
        <v>16</v>
      </c>
      <c r="I906" s="32">
        <v>665.83</v>
      </c>
      <c r="J906" s="32">
        <v>10653.28</v>
      </c>
      <c r="K906" s="29"/>
      <c r="M906" s="29"/>
      <c r="N906" s="29"/>
      <c r="P906" s="29"/>
      <c r="Q906" s="29"/>
      <c r="S906" s="29"/>
      <c r="T906" s="29"/>
      <c r="V906" s="29"/>
      <c r="X906" s="29"/>
      <c r="Y906" s="29"/>
      <c r="Z906" s="29"/>
    </row>
    <row r="907" spans="1:26" ht="15" thickBot="1">
      <c r="A907" s="49">
        <v>45082</v>
      </c>
      <c r="B907" s="29" t="s">
        <v>230</v>
      </c>
      <c r="C907" s="29" t="s">
        <v>274</v>
      </c>
      <c r="D907" s="29" t="s">
        <v>232</v>
      </c>
      <c r="E907" s="29" t="s">
        <v>6</v>
      </c>
      <c r="F907" s="29" t="s">
        <v>259</v>
      </c>
      <c r="G907" s="29" t="s">
        <v>298</v>
      </c>
      <c r="H907" s="32">
        <v>16</v>
      </c>
      <c r="I907" s="32">
        <v>615.70000000000005</v>
      </c>
      <c r="J907" s="32">
        <v>9851.2000000000007</v>
      </c>
      <c r="K907" s="29"/>
      <c r="M907" s="29"/>
      <c r="N907" s="29"/>
      <c r="P907" s="29"/>
      <c r="Q907" s="29"/>
      <c r="S907" s="29"/>
      <c r="T907" s="29"/>
      <c r="V907" s="29"/>
      <c r="X907" s="29"/>
      <c r="Y907" s="29"/>
      <c r="Z907" s="29"/>
    </row>
    <row r="908" spans="1:26" ht="15" thickBot="1">
      <c r="A908" s="32" t="s">
        <v>322</v>
      </c>
      <c r="B908" s="29" t="s">
        <v>260</v>
      </c>
      <c r="C908" s="29" t="s">
        <v>283</v>
      </c>
      <c r="D908" s="29" t="s">
        <v>242</v>
      </c>
      <c r="E908" s="29" t="s">
        <v>8</v>
      </c>
      <c r="F908" s="29" t="s">
        <v>238</v>
      </c>
      <c r="G908" s="29" t="s">
        <v>303</v>
      </c>
      <c r="H908" s="32">
        <v>13</v>
      </c>
      <c r="I908" s="32">
        <v>3616.99</v>
      </c>
      <c r="J908" s="32">
        <v>47020.87</v>
      </c>
      <c r="K908" s="29"/>
      <c r="M908" s="29"/>
      <c r="N908" s="29"/>
      <c r="P908" s="29"/>
      <c r="Q908" s="29"/>
      <c r="S908" s="29"/>
      <c r="T908" s="29"/>
      <c r="V908" s="29"/>
      <c r="X908" s="29"/>
      <c r="Y908" s="29"/>
      <c r="Z908" s="29"/>
    </row>
    <row r="909" spans="1:26" ht="15" thickBot="1">
      <c r="A909" s="49">
        <v>45144</v>
      </c>
      <c r="B909" s="29" t="s">
        <v>280</v>
      </c>
      <c r="C909" s="29" t="s">
        <v>244</v>
      </c>
      <c r="D909" s="29" t="s">
        <v>237</v>
      </c>
      <c r="E909" s="29" t="s">
        <v>8</v>
      </c>
      <c r="F909" s="29" t="s">
        <v>245</v>
      </c>
      <c r="G909" s="29" t="s">
        <v>266</v>
      </c>
      <c r="H909" s="32">
        <v>9</v>
      </c>
      <c r="I909" s="32">
        <v>1940.11</v>
      </c>
      <c r="J909" s="32">
        <v>17460.990000000002</v>
      </c>
      <c r="K909" s="29"/>
      <c r="M909" s="29"/>
      <c r="N909" s="29"/>
      <c r="P909" s="29"/>
      <c r="Q909" s="29"/>
      <c r="S909" s="29"/>
      <c r="T909" s="29"/>
      <c r="V909" s="29"/>
      <c r="X909" s="29"/>
      <c r="Y909" s="29"/>
      <c r="Z909" s="29"/>
    </row>
    <row r="910" spans="1:26" ht="15" thickBot="1">
      <c r="A910" s="32" t="s">
        <v>315</v>
      </c>
      <c r="B910" s="29" t="s">
        <v>268</v>
      </c>
      <c r="C910" s="29" t="s">
        <v>244</v>
      </c>
      <c r="D910" s="29" t="s">
        <v>237</v>
      </c>
      <c r="E910" s="29" t="s">
        <v>8</v>
      </c>
      <c r="F910" s="29" t="s">
        <v>259</v>
      </c>
      <c r="G910" s="29" t="s">
        <v>182</v>
      </c>
      <c r="H910" s="32">
        <v>16</v>
      </c>
      <c r="I910" s="32">
        <v>1064.93</v>
      </c>
      <c r="J910" s="32">
        <v>17038.88</v>
      </c>
      <c r="K910" s="29"/>
      <c r="M910" s="29"/>
      <c r="N910" s="29"/>
      <c r="P910" s="29"/>
      <c r="Q910" s="29"/>
      <c r="S910" s="29"/>
      <c r="T910" s="29"/>
      <c r="V910" s="29"/>
      <c r="X910" s="29"/>
      <c r="Y910" s="29"/>
      <c r="Z910" s="29"/>
    </row>
    <row r="911" spans="1:26" ht="15" thickBot="1">
      <c r="A911" s="49">
        <v>45232</v>
      </c>
      <c r="B911" s="29" t="s">
        <v>268</v>
      </c>
      <c r="C911" s="29" t="s">
        <v>249</v>
      </c>
      <c r="D911" s="29" t="s">
        <v>232</v>
      </c>
      <c r="E911" s="29" t="s">
        <v>6</v>
      </c>
      <c r="F911" s="29" t="s">
        <v>245</v>
      </c>
      <c r="G911" s="29" t="s">
        <v>295</v>
      </c>
      <c r="H911" s="32">
        <v>2</v>
      </c>
      <c r="I911" s="32">
        <v>4845.74</v>
      </c>
      <c r="J911" s="32">
        <v>9691.48</v>
      </c>
      <c r="K911" s="29"/>
      <c r="M911" s="29"/>
      <c r="N911" s="29"/>
      <c r="P911" s="29"/>
      <c r="Q911" s="29"/>
      <c r="S911" s="29"/>
      <c r="T911" s="29"/>
      <c r="V911" s="29"/>
      <c r="X911" s="29"/>
      <c r="Y911" s="29"/>
      <c r="Z911" s="29"/>
    </row>
    <row r="912" spans="1:26" ht="15" thickBot="1">
      <c r="A912" s="32" t="s">
        <v>396</v>
      </c>
      <c r="B912" s="29" t="s">
        <v>248</v>
      </c>
      <c r="C912" s="29" t="s">
        <v>258</v>
      </c>
      <c r="D912" s="29" t="s">
        <v>242</v>
      </c>
      <c r="E912" s="29" t="s">
        <v>8</v>
      </c>
      <c r="F912" s="29" t="s">
        <v>250</v>
      </c>
      <c r="G912" s="29" t="s">
        <v>293</v>
      </c>
      <c r="H912" s="32">
        <v>3</v>
      </c>
      <c r="I912" s="32">
        <v>4766.28</v>
      </c>
      <c r="J912" s="32">
        <v>14298.84</v>
      </c>
      <c r="K912" s="29"/>
      <c r="M912" s="29"/>
      <c r="N912" s="29"/>
      <c r="P912" s="29"/>
      <c r="Q912" s="29"/>
      <c r="S912" s="29"/>
      <c r="T912" s="29"/>
      <c r="V912" s="29"/>
      <c r="X912" s="29"/>
      <c r="Y912" s="29"/>
      <c r="Z912" s="29"/>
    </row>
    <row r="913" spans="1:26" ht="15" thickBot="1">
      <c r="A913" s="49">
        <v>45233</v>
      </c>
      <c r="B913" s="29" t="s">
        <v>235</v>
      </c>
      <c r="C913" s="29" t="s">
        <v>313</v>
      </c>
      <c r="D913" s="29" t="s">
        <v>252</v>
      </c>
      <c r="E913" s="29" t="s">
        <v>5</v>
      </c>
      <c r="F913" s="29" t="s">
        <v>245</v>
      </c>
      <c r="G913" s="29" t="s">
        <v>295</v>
      </c>
      <c r="H913" s="32">
        <v>15</v>
      </c>
      <c r="I913" s="32">
        <v>3946.23</v>
      </c>
      <c r="J913" s="32">
        <v>59193.45</v>
      </c>
      <c r="K913" s="29"/>
      <c r="M913" s="29"/>
      <c r="N913" s="29"/>
      <c r="P913" s="29"/>
      <c r="Q913" s="29"/>
      <c r="S913" s="29"/>
      <c r="T913" s="29"/>
      <c r="V913" s="29"/>
      <c r="X913" s="29"/>
      <c r="Y913" s="29"/>
      <c r="Z913" s="29"/>
    </row>
    <row r="914" spans="1:26" ht="15" thickBot="1">
      <c r="A914" s="49">
        <v>45145</v>
      </c>
      <c r="B914" s="29" t="s">
        <v>260</v>
      </c>
      <c r="C914" s="29" t="s">
        <v>261</v>
      </c>
      <c r="D914" s="29" t="s">
        <v>247</v>
      </c>
      <c r="E914" s="29" t="s">
        <v>6</v>
      </c>
      <c r="F914" s="29" t="s">
        <v>245</v>
      </c>
      <c r="G914" s="29" t="s">
        <v>266</v>
      </c>
      <c r="H914" s="32">
        <v>12</v>
      </c>
      <c r="I914" s="32">
        <v>1804.27</v>
      </c>
      <c r="J914" s="32">
        <v>21651.24</v>
      </c>
      <c r="K914" s="29"/>
      <c r="M914" s="29"/>
      <c r="N914" s="29"/>
      <c r="P914" s="29"/>
      <c r="Q914" s="29"/>
      <c r="S914" s="29"/>
      <c r="T914" s="29"/>
      <c r="V914" s="29"/>
      <c r="X914" s="29"/>
      <c r="Y914" s="29"/>
      <c r="Z914" s="29"/>
    </row>
    <row r="915" spans="1:26" ht="15" thickBot="1">
      <c r="A915" s="32" t="s">
        <v>488</v>
      </c>
      <c r="B915" s="29" t="s">
        <v>254</v>
      </c>
      <c r="C915" s="29" t="s">
        <v>231</v>
      </c>
      <c r="D915" s="29" t="s">
        <v>232</v>
      </c>
      <c r="E915" s="29" t="s">
        <v>6</v>
      </c>
      <c r="F915" s="29" t="s">
        <v>259</v>
      </c>
      <c r="G915" s="29" t="s">
        <v>179</v>
      </c>
      <c r="H915" s="32">
        <v>3</v>
      </c>
      <c r="I915" s="32">
        <v>2055.4499999999998</v>
      </c>
      <c r="J915" s="32">
        <v>6166.35</v>
      </c>
      <c r="K915" s="29"/>
      <c r="M915" s="29"/>
      <c r="N915" s="29"/>
      <c r="P915" s="29"/>
      <c r="Q915" s="29"/>
      <c r="S915" s="29"/>
      <c r="T915" s="29"/>
      <c r="V915" s="29"/>
      <c r="X915" s="29"/>
      <c r="Y915" s="29"/>
      <c r="Z915" s="29"/>
    </row>
    <row r="916" spans="1:26" ht="15" thickBot="1">
      <c r="A916" s="49">
        <v>45056</v>
      </c>
      <c r="B916" s="29" t="s">
        <v>254</v>
      </c>
      <c r="C916" s="29" t="s">
        <v>313</v>
      </c>
      <c r="D916" s="29" t="s">
        <v>252</v>
      </c>
      <c r="E916" s="29" t="s">
        <v>5</v>
      </c>
      <c r="F916" s="29" t="s">
        <v>233</v>
      </c>
      <c r="G916" s="29" t="s">
        <v>287</v>
      </c>
      <c r="H916" s="32">
        <v>5</v>
      </c>
      <c r="I916" s="32">
        <v>1568.68</v>
      </c>
      <c r="J916" s="32">
        <v>7843.4</v>
      </c>
      <c r="K916" s="29"/>
      <c r="M916" s="29"/>
      <c r="N916" s="29"/>
      <c r="P916" s="29"/>
      <c r="Q916" s="29"/>
      <c r="S916" s="29"/>
      <c r="T916" s="29"/>
      <c r="V916" s="29"/>
      <c r="X916" s="29"/>
      <c r="Y916" s="29"/>
      <c r="Z916" s="29"/>
    </row>
    <row r="917" spans="1:26" ht="15" thickBot="1">
      <c r="A917" s="32" t="s">
        <v>302</v>
      </c>
      <c r="B917" s="29" t="s">
        <v>257</v>
      </c>
      <c r="C917" s="29" t="s">
        <v>258</v>
      </c>
      <c r="D917" s="29" t="s">
        <v>242</v>
      </c>
      <c r="E917" s="29" t="s">
        <v>8</v>
      </c>
      <c r="F917" s="29" t="s">
        <v>233</v>
      </c>
      <c r="G917" s="29" t="s">
        <v>301</v>
      </c>
      <c r="H917" s="32">
        <v>16</v>
      </c>
      <c r="I917" s="32">
        <v>2288.6799999999998</v>
      </c>
      <c r="J917" s="32">
        <v>36618.879999999997</v>
      </c>
      <c r="K917" s="29"/>
      <c r="M917" s="29"/>
      <c r="N917" s="29"/>
      <c r="P917" s="29"/>
      <c r="Q917" s="29"/>
      <c r="S917" s="29"/>
      <c r="T917" s="29"/>
      <c r="V917" s="29"/>
      <c r="X917" s="29"/>
      <c r="Y917" s="29"/>
      <c r="Z917" s="29"/>
    </row>
    <row r="918" spans="1:26" ht="15" thickBot="1">
      <c r="A918" s="49">
        <v>45113</v>
      </c>
      <c r="B918" s="29" t="s">
        <v>271</v>
      </c>
      <c r="C918" s="29" t="s">
        <v>244</v>
      </c>
      <c r="D918" s="29" t="s">
        <v>237</v>
      </c>
      <c r="E918" s="29" t="s">
        <v>8</v>
      </c>
      <c r="F918" s="29" t="s">
        <v>233</v>
      </c>
      <c r="G918" s="29" t="s">
        <v>304</v>
      </c>
      <c r="H918" s="32">
        <v>12</v>
      </c>
      <c r="I918" s="32">
        <v>2133.0500000000002</v>
      </c>
      <c r="J918" s="32">
        <v>25596.6</v>
      </c>
      <c r="K918" s="29"/>
      <c r="M918" s="29"/>
      <c r="N918" s="29"/>
      <c r="P918" s="29"/>
      <c r="Q918" s="29"/>
      <c r="S918" s="29"/>
      <c r="T918" s="29"/>
      <c r="V918" s="29"/>
      <c r="X918" s="29"/>
      <c r="Y918" s="29"/>
      <c r="Z918" s="29"/>
    </row>
    <row r="919" spans="1:26" ht="15" thickBot="1">
      <c r="A919" s="49">
        <v>45050</v>
      </c>
      <c r="B919" s="29" t="s">
        <v>271</v>
      </c>
      <c r="C919" s="29" t="s">
        <v>274</v>
      </c>
      <c r="D919" s="29" t="s">
        <v>232</v>
      </c>
      <c r="E919" s="29" t="s">
        <v>6</v>
      </c>
      <c r="F919" s="29" t="s">
        <v>250</v>
      </c>
      <c r="G919" s="29" t="s">
        <v>284</v>
      </c>
      <c r="H919" s="32">
        <v>4</v>
      </c>
      <c r="I919" s="32">
        <v>1208.42</v>
      </c>
      <c r="J919" s="32">
        <v>4833.68</v>
      </c>
      <c r="K919" s="29"/>
      <c r="M919" s="29"/>
      <c r="N919" s="29"/>
      <c r="P919" s="29"/>
      <c r="Q919" s="29"/>
      <c r="S919" s="29"/>
      <c r="T919" s="29"/>
      <c r="V919" s="29"/>
      <c r="X919" s="29"/>
      <c r="Y919" s="29"/>
      <c r="Z919" s="29"/>
    </row>
    <row r="920" spans="1:26" ht="15" thickBot="1">
      <c r="A920" s="49">
        <v>45175</v>
      </c>
      <c r="B920" s="29" t="s">
        <v>271</v>
      </c>
      <c r="C920" s="29" t="s">
        <v>273</v>
      </c>
      <c r="D920" s="29" t="s">
        <v>252</v>
      </c>
      <c r="E920" s="29" t="s">
        <v>5</v>
      </c>
      <c r="F920" s="29" t="s">
        <v>238</v>
      </c>
      <c r="G920" s="29" t="s">
        <v>239</v>
      </c>
      <c r="H920" s="32">
        <v>14</v>
      </c>
      <c r="I920" s="32">
        <v>630.45000000000005</v>
      </c>
      <c r="J920" s="32">
        <v>8826.2999999999993</v>
      </c>
      <c r="K920" s="29"/>
      <c r="M920" s="29"/>
      <c r="N920" s="29"/>
      <c r="P920" s="29"/>
      <c r="Q920" s="29"/>
      <c r="S920" s="29"/>
      <c r="T920" s="29"/>
      <c r="V920" s="29"/>
      <c r="X920" s="29"/>
      <c r="Y920" s="29"/>
      <c r="Z920" s="29"/>
    </row>
    <row r="921" spans="1:26" ht="15" thickBot="1">
      <c r="A921" s="32" t="s">
        <v>397</v>
      </c>
      <c r="B921" s="29" t="s">
        <v>254</v>
      </c>
      <c r="C921" s="29" t="s">
        <v>231</v>
      </c>
      <c r="D921" s="29" t="s">
        <v>232</v>
      </c>
      <c r="E921" s="29" t="s">
        <v>6</v>
      </c>
      <c r="F921" s="29" t="s">
        <v>245</v>
      </c>
      <c r="G921" s="29" t="s">
        <v>246</v>
      </c>
      <c r="H921" s="32">
        <v>14</v>
      </c>
      <c r="I921" s="32">
        <v>2713.47</v>
      </c>
      <c r="J921" s="32">
        <v>37988.58</v>
      </c>
      <c r="K921" s="29"/>
      <c r="M921" s="29"/>
      <c r="N921" s="29"/>
      <c r="P921" s="29"/>
      <c r="Q921" s="29"/>
      <c r="S921" s="29"/>
      <c r="T921" s="29"/>
      <c r="V921" s="29"/>
      <c r="X921" s="29"/>
      <c r="Y921" s="29"/>
      <c r="Z921" s="29"/>
    </row>
    <row r="922" spans="1:26" ht="15" thickBot="1">
      <c r="A922" s="49">
        <v>45173</v>
      </c>
      <c r="B922" s="29" t="s">
        <v>230</v>
      </c>
      <c r="C922" s="29" t="s">
        <v>273</v>
      </c>
      <c r="D922" s="29" t="s">
        <v>252</v>
      </c>
      <c r="E922" s="29" t="s">
        <v>5</v>
      </c>
      <c r="F922" s="29" t="s">
        <v>233</v>
      </c>
      <c r="G922" s="29" t="s">
        <v>304</v>
      </c>
      <c r="H922" s="32">
        <v>7</v>
      </c>
      <c r="I922" s="32">
        <v>3273.61</v>
      </c>
      <c r="J922" s="32">
        <v>22915.27</v>
      </c>
      <c r="K922" s="29"/>
      <c r="M922" s="29"/>
      <c r="N922" s="29"/>
      <c r="P922" s="29"/>
      <c r="Q922" s="29"/>
      <c r="S922" s="29"/>
      <c r="T922" s="29"/>
      <c r="V922" s="29"/>
      <c r="X922" s="29"/>
      <c r="Y922" s="29"/>
      <c r="Z922" s="29"/>
    </row>
    <row r="923" spans="1:26" ht="15" thickBot="1">
      <c r="A923" s="32" t="s">
        <v>433</v>
      </c>
      <c r="B923" s="29" t="s">
        <v>254</v>
      </c>
      <c r="C923" s="29" t="s">
        <v>274</v>
      </c>
      <c r="D923" s="29" t="s">
        <v>232</v>
      </c>
      <c r="E923" s="29" t="s">
        <v>6</v>
      </c>
      <c r="F923" s="29" t="s">
        <v>245</v>
      </c>
      <c r="G923" s="29" t="s">
        <v>269</v>
      </c>
      <c r="H923" s="32">
        <v>9</v>
      </c>
      <c r="I923" s="32">
        <v>566.91999999999996</v>
      </c>
      <c r="J923" s="32">
        <v>5102.28</v>
      </c>
      <c r="K923" s="29"/>
      <c r="M923" s="29"/>
      <c r="N923" s="29"/>
      <c r="P923" s="29"/>
      <c r="Q923" s="29"/>
      <c r="S923" s="29"/>
      <c r="T923" s="29"/>
      <c r="V923" s="29"/>
      <c r="X923" s="29"/>
      <c r="Y923" s="29"/>
      <c r="Z923" s="29"/>
    </row>
    <row r="924" spans="1:26" ht="15" thickBot="1">
      <c r="A924" s="32" t="s">
        <v>460</v>
      </c>
      <c r="B924" s="29" t="s">
        <v>268</v>
      </c>
      <c r="C924" s="29" t="s">
        <v>258</v>
      </c>
      <c r="D924" s="29" t="s">
        <v>242</v>
      </c>
      <c r="E924" s="29" t="s">
        <v>8</v>
      </c>
      <c r="F924" s="29" t="s">
        <v>259</v>
      </c>
      <c r="G924" s="29" t="s">
        <v>182</v>
      </c>
      <c r="H924" s="32">
        <v>2</v>
      </c>
      <c r="I924" s="32">
        <v>3830.39</v>
      </c>
      <c r="J924" s="32">
        <v>7660.78</v>
      </c>
      <c r="K924" s="29"/>
      <c r="M924" s="29"/>
      <c r="N924" s="29"/>
      <c r="P924" s="29"/>
      <c r="Q924" s="29"/>
      <c r="S924" s="29"/>
      <c r="T924" s="29"/>
      <c r="V924" s="29"/>
      <c r="X924" s="29"/>
      <c r="Y924" s="29"/>
      <c r="Z924" s="29"/>
    </row>
    <row r="925" spans="1:26" ht="15" thickBot="1">
      <c r="A925" s="32" t="s">
        <v>480</v>
      </c>
      <c r="B925" s="29" t="s">
        <v>248</v>
      </c>
      <c r="C925" s="29" t="s">
        <v>274</v>
      </c>
      <c r="D925" s="29" t="s">
        <v>232</v>
      </c>
      <c r="E925" s="29" t="s">
        <v>6</v>
      </c>
      <c r="F925" s="29" t="s">
        <v>259</v>
      </c>
      <c r="G925" s="29" t="s">
        <v>298</v>
      </c>
      <c r="H925" s="32">
        <v>7</v>
      </c>
      <c r="I925" s="32">
        <v>4456.5</v>
      </c>
      <c r="J925" s="32">
        <v>31195.5</v>
      </c>
      <c r="K925" s="29"/>
      <c r="M925" s="29"/>
      <c r="N925" s="29"/>
      <c r="P925" s="29"/>
      <c r="Q925" s="29"/>
      <c r="S925" s="29"/>
      <c r="T925" s="29"/>
      <c r="V925" s="29"/>
      <c r="X925" s="29"/>
      <c r="Y925" s="29"/>
      <c r="Z925" s="29"/>
    </row>
    <row r="926" spans="1:26" ht="15" thickBot="1">
      <c r="A926" s="32" t="s">
        <v>489</v>
      </c>
      <c r="B926" s="29" t="s">
        <v>230</v>
      </c>
      <c r="C926" s="29" t="s">
        <v>255</v>
      </c>
      <c r="D926" s="29" t="s">
        <v>237</v>
      </c>
      <c r="E926" s="29" t="s">
        <v>8</v>
      </c>
      <c r="F926" s="29" t="s">
        <v>238</v>
      </c>
      <c r="G926" s="29" t="s">
        <v>296</v>
      </c>
      <c r="H926" s="32">
        <v>15</v>
      </c>
      <c r="I926" s="32">
        <v>202.66</v>
      </c>
      <c r="J926" s="32">
        <v>3039.9</v>
      </c>
      <c r="K926" s="29"/>
      <c r="M926" s="29"/>
      <c r="N926" s="29"/>
      <c r="P926" s="29"/>
      <c r="Q926" s="29"/>
      <c r="S926" s="29"/>
      <c r="T926" s="29"/>
      <c r="V926" s="29"/>
      <c r="X926" s="29"/>
      <c r="Y926" s="29"/>
      <c r="Z926" s="29"/>
    </row>
    <row r="927" spans="1:26" ht="15" thickBot="1">
      <c r="A927" s="32" t="s">
        <v>315</v>
      </c>
      <c r="B927" s="29" t="s">
        <v>268</v>
      </c>
      <c r="C927" s="29" t="s">
        <v>231</v>
      </c>
      <c r="D927" s="29" t="s">
        <v>232</v>
      </c>
      <c r="E927" s="29" t="s">
        <v>6</v>
      </c>
      <c r="F927" s="29" t="s">
        <v>245</v>
      </c>
      <c r="G927" s="29" t="s">
        <v>266</v>
      </c>
      <c r="H927" s="32">
        <v>10</v>
      </c>
      <c r="I927" s="32">
        <v>1018.19</v>
      </c>
      <c r="J927" s="32">
        <v>10181.9</v>
      </c>
      <c r="K927" s="29"/>
      <c r="M927" s="29"/>
      <c r="N927" s="29"/>
      <c r="P927" s="29"/>
      <c r="Q927" s="29"/>
      <c r="S927" s="29"/>
      <c r="T927" s="29"/>
      <c r="V927" s="29"/>
      <c r="X927" s="29"/>
      <c r="Y927" s="29"/>
      <c r="Z927" s="29"/>
    </row>
    <row r="928" spans="1:26" ht="15" thickBot="1">
      <c r="A928" s="49">
        <v>45050</v>
      </c>
      <c r="B928" s="29" t="s">
        <v>230</v>
      </c>
      <c r="C928" s="29" t="s">
        <v>261</v>
      </c>
      <c r="D928" s="29" t="s">
        <v>247</v>
      </c>
      <c r="E928" s="29" t="s">
        <v>6</v>
      </c>
      <c r="F928" s="29" t="s">
        <v>245</v>
      </c>
      <c r="G928" s="29" t="s">
        <v>266</v>
      </c>
      <c r="H928" s="32">
        <v>4</v>
      </c>
      <c r="I928" s="32">
        <v>3300.36</v>
      </c>
      <c r="J928" s="32">
        <v>13201.44</v>
      </c>
      <c r="K928" s="29"/>
      <c r="M928" s="29"/>
      <c r="N928" s="29"/>
      <c r="P928" s="29"/>
      <c r="Q928" s="29"/>
      <c r="S928" s="29"/>
      <c r="T928" s="29"/>
      <c r="V928" s="29"/>
      <c r="X928" s="29"/>
      <c r="Y928" s="29"/>
      <c r="Z928" s="29"/>
    </row>
    <row r="929" spans="1:26" ht="15" thickBot="1">
      <c r="A929" s="32" t="s">
        <v>490</v>
      </c>
      <c r="B929" s="29" t="s">
        <v>235</v>
      </c>
      <c r="C929" s="29" t="s">
        <v>313</v>
      </c>
      <c r="D929" s="29" t="s">
        <v>252</v>
      </c>
      <c r="E929" s="29" t="s">
        <v>5</v>
      </c>
      <c r="F929" s="29" t="s">
        <v>245</v>
      </c>
      <c r="G929" s="29" t="s">
        <v>266</v>
      </c>
      <c r="H929" s="32">
        <v>12</v>
      </c>
      <c r="I929" s="32">
        <v>957.01</v>
      </c>
      <c r="J929" s="32">
        <v>11484.12</v>
      </c>
      <c r="K929" s="29"/>
      <c r="M929" s="29"/>
      <c r="N929" s="29"/>
      <c r="P929" s="29"/>
      <c r="Q929" s="29"/>
      <c r="S929" s="29"/>
      <c r="T929" s="29"/>
      <c r="V929" s="29"/>
      <c r="X929" s="29"/>
      <c r="Y929" s="29"/>
      <c r="Z929" s="29"/>
    </row>
    <row r="930" spans="1:26" ht="15" thickBot="1">
      <c r="A930" s="32" t="s">
        <v>342</v>
      </c>
      <c r="B930" s="29" t="s">
        <v>235</v>
      </c>
      <c r="C930" s="29" t="s">
        <v>255</v>
      </c>
      <c r="D930" s="29" t="s">
        <v>237</v>
      </c>
      <c r="E930" s="29" t="s">
        <v>8</v>
      </c>
      <c r="F930" s="29" t="s">
        <v>250</v>
      </c>
      <c r="G930" s="29" t="s">
        <v>277</v>
      </c>
      <c r="H930" s="32">
        <v>19</v>
      </c>
      <c r="I930" s="32">
        <v>1933.19</v>
      </c>
      <c r="J930" s="32">
        <v>36730.61</v>
      </c>
      <c r="K930" s="29"/>
      <c r="M930" s="29"/>
      <c r="N930" s="29"/>
      <c r="P930" s="29"/>
      <c r="Q930" s="29"/>
      <c r="S930" s="29"/>
      <c r="T930" s="29"/>
      <c r="V930" s="29"/>
      <c r="X930" s="29"/>
      <c r="Y930" s="29"/>
      <c r="Z930" s="29"/>
    </row>
    <row r="931" spans="1:26" ht="15" thickBot="1">
      <c r="A931" s="32" t="s">
        <v>454</v>
      </c>
      <c r="B931" s="29" t="s">
        <v>240</v>
      </c>
      <c r="C931" s="29" t="s">
        <v>273</v>
      </c>
      <c r="D931" s="29" t="s">
        <v>252</v>
      </c>
      <c r="E931" s="29" t="s">
        <v>5</v>
      </c>
      <c r="F931" s="29" t="s">
        <v>233</v>
      </c>
      <c r="G931" s="29" t="s">
        <v>304</v>
      </c>
      <c r="H931" s="32">
        <v>15</v>
      </c>
      <c r="I931" s="32">
        <v>834.13</v>
      </c>
      <c r="J931" s="32">
        <v>12511.95</v>
      </c>
      <c r="K931" s="29"/>
      <c r="M931" s="29"/>
      <c r="N931" s="29"/>
      <c r="P931" s="29"/>
      <c r="Q931" s="29"/>
      <c r="S931" s="29"/>
      <c r="T931" s="29"/>
      <c r="V931" s="29"/>
      <c r="X931" s="29"/>
      <c r="Y931" s="29"/>
      <c r="Z931" s="29"/>
    </row>
    <row r="932" spans="1:26" ht="15" thickBot="1">
      <c r="A932" s="32" t="s">
        <v>323</v>
      </c>
      <c r="B932" s="29" t="s">
        <v>257</v>
      </c>
      <c r="C932" s="29" t="s">
        <v>258</v>
      </c>
      <c r="D932" s="29" t="s">
        <v>242</v>
      </c>
      <c r="E932" s="29" t="s">
        <v>8</v>
      </c>
      <c r="F932" s="29" t="s">
        <v>238</v>
      </c>
      <c r="G932" s="29" t="s">
        <v>296</v>
      </c>
      <c r="H932" s="32">
        <v>18</v>
      </c>
      <c r="I932" s="32">
        <v>2535.8200000000002</v>
      </c>
      <c r="J932" s="32">
        <v>45644.76</v>
      </c>
      <c r="K932" s="29"/>
      <c r="M932" s="29"/>
      <c r="N932" s="29"/>
      <c r="P932" s="29"/>
      <c r="Q932" s="29"/>
      <c r="S932" s="29"/>
      <c r="T932" s="29"/>
      <c r="V932" s="29"/>
      <c r="X932" s="29"/>
      <c r="Y932" s="29"/>
      <c r="Z932" s="29"/>
    </row>
    <row r="933" spans="1:26" ht="15" thickBot="1">
      <c r="A933" s="49">
        <v>45202</v>
      </c>
      <c r="B933" s="29" t="s">
        <v>235</v>
      </c>
      <c r="C933" s="29" t="s">
        <v>255</v>
      </c>
      <c r="D933" s="29" t="s">
        <v>237</v>
      </c>
      <c r="E933" s="29" t="s">
        <v>8</v>
      </c>
      <c r="F933" s="29" t="s">
        <v>250</v>
      </c>
      <c r="G933" s="29" t="s">
        <v>293</v>
      </c>
      <c r="H933" s="32">
        <v>18</v>
      </c>
      <c r="I933" s="32">
        <v>2299.9299999999998</v>
      </c>
      <c r="J933" s="32">
        <v>41398.74</v>
      </c>
      <c r="K933" s="29"/>
      <c r="M933" s="29"/>
      <c r="N933" s="29"/>
      <c r="P933" s="29"/>
      <c r="Q933" s="29"/>
      <c r="S933" s="29"/>
      <c r="T933" s="29"/>
      <c r="V933" s="29"/>
      <c r="X933" s="29"/>
      <c r="Y933" s="29"/>
      <c r="Z933" s="29"/>
    </row>
    <row r="934" spans="1:26" ht="15" thickBot="1">
      <c r="A934" s="32" t="s">
        <v>243</v>
      </c>
      <c r="B934" s="29" t="s">
        <v>257</v>
      </c>
      <c r="C934" s="29" t="s">
        <v>261</v>
      </c>
      <c r="D934" s="29" t="s">
        <v>247</v>
      </c>
      <c r="E934" s="29" t="s">
        <v>6</v>
      </c>
      <c r="F934" s="29" t="s">
        <v>233</v>
      </c>
      <c r="G934" s="29" t="s">
        <v>287</v>
      </c>
      <c r="H934" s="32">
        <v>5</v>
      </c>
      <c r="I934" s="32">
        <v>606.49</v>
      </c>
      <c r="J934" s="32">
        <v>3032.45</v>
      </c>
      <c r="K934" s="29"/>
      <c r="M934" s="29"/>
      <c r="N934" s="29"/>
      <c r="P934" s="29"/>
      <c r="Q934" s="29"/>
      <c r="S934" s="29"/>
      <c r="T934" s="29"/>
      <c r="V934" s="29"/>
      <c r="X934" s="29"/>
      <c r="Y934" s="29"/>
      <c r="Z934" s="29"/>
    </row>
    <row r="935" spans="1:26" ht="15" thickBot="1">
      <c r="A935" s="32" t="s">
        <v>379</v>
      </c>
      <c r="B935" s="29" t="s">
        <v>254</v>
      </c>
      <c r="C935" s="29" t="s">
        <v>283</v>
      </c>
      <c r="D935" s="29" t="s">
        <v>242</v>
      </c>
      <c r="E935" s="29" t="s">
        <v>8</v>
      </c>
      <c r="F935" s="29" t="s">
        <v>238</v>
      </c>
      <c r="G935" s="29" t="s">
        <v>256</v>
      </c>
      <c r="H935" s="32">
        <v>6</v>
      </c>
      <c r="I935" s="32">
        <v>1919.03</v>
      </c>
      <c r="J935" s="32">
        <v>11514.18</v>
      </c>
      <c r="K935" s="29"/>
      <c r="M935" s="29"/>
      <c r="N935" s="29"/>
      <c r="P935" s="29"/>
      <c r="Q935" s="29"/>
      <c r="S935" s="29"/>
      <c r="T935" s="29"/>
      <c r="V935" s="29"/>
      <c r="X935" s="29"/>
      <c r="Y935" s="29"/>
      <c r="Z935" s="29"/>
    </row>
    <row r="936" spans="1:26" ht="15" thickBot="1">
      <c r="A936" s="49">
        <v>44963</v>
      </c>
      <c r="B936" s="29" t="s">
        <v>230</v>
      </c>
      <c r="C936" s="29" t="s">
        <v>283</v>
      </c>
      <c r="D936" s="29" t="s">
        <v>242</v>
      </c>
      <c r="E936" s="29" t="s">
        <v>8</v>
      </c>
      <c r="F936" s="29" t="s">
        <v>238</v>
      </c>
      <c r="G936" s="29" t="s">
        <v>296</v>
      </c>
      <c r="H936" s="32">
        <v>9</v>
      </c>
      <c r="I936" s="32">
        <v>662.41</v>
      </c>
      <c r="J936" s="32">
        <v>5961.69</v>
      </c>
      <c r="K936" s="29"/>
      <c r="M936" s="29"/>
      <c r="N936" s="29"/>
      <c r="P936" s="29"/>
      <c r="Q936" s="29"/>
      <c r="S936" s="29"/>
      <c r="T936" s="29"/>
      <c r="V936" s="29"/>
      <c r="X936" s="29"/>
      <c r="Y936" s="29"/>
      <c r="Z936" s="29"/>
    </row>
    <row r="937" spans="1:26" ht="15" thickBot="1">
      <c r="A937" s="49">
        <v>45170</v>
      </c>
      <c r="B937" s="29" t="s">
        <v>280</v>
      </c>
      <c r="C937" s="29" t="s">
        <v>244</v>
      </c>
      <c r="D937" s="29" t="s">
        <v>237</v>
      </c>
      <c r="E937" s="29" t="s">
        <v>8</v>
      </c>
      <c r="F937" s="29" t="s">
        <v>238</v>
      </c>
      <c r="G937" s="29" t="s">
        <v>303</v>
      </c>
      <c r="H937" s="32">
        <v>18</v>
      </c>
      <c r="I937" s="32">
        <v>970.52</v>
      </c>
      <c r="J937" s="32">
        <v>17469.36</v>
      </c>
      <c r="K937" s="29"/>
      <c r="M937" s="29"/>
      <c r="N937" s="29"/>
      <c r="P937" s="29"/>
      <c r="Q937" s="29"/>
      <c r="S937" s="29"/>
      <c r="T937" s="29"/>
      <c r="V937" s="29"/>
      <c r="X937" s="29"/>
      <c r="Y937" s="29"/>
      <c r="Z937" s="29"/>
    </row>
    <row r="938" spans="1:26" ht="15" thickBot="1">
      <c r="A938" s="49">
        <v>45056</v>
      </c>
      <c r="B938" s="29" t="s">
        <v>271</v>
      </c>
      <c r="C938" s="29" t="s">
        <v>313</v>
      </c>
      <c r="D938" s="29" t="s">
        <v>252</v>
      </c>
      <c r="E938" s="29" t="s">
        <v>5</v>
      </c>
      <c r="F938" s="29" t="s">
        <v>259</v>
      </c>
      <c r="G938" s="29" t="s">
        <v>298</v>
      </c>
      <c r="H938" s="32">
        <v>2</v>
      </c>
      <c r="I938" s="32">
        <v>4112.53</v>
      </c>
      <c r="J938" s="32">
        <v>8225.06</v>
      </c>
      <c r="K938" s="29"/>
      <c r="M938" s="29"/>
      <c r="N938" s="29"/>
      <c r="P938" s="29"/>
      <c r="Q938" s="29"/>
      <c r="S938" s="29"/>
      <c r="T938" s="29"/>
      <c r="V938" s="29"/>
      <c r="X938" s="29"/>
      <c r="Y938" s="29"/>
      <c r="Z938" s="29"/>
    </row>
    <row r="939" spans="1:26" ht="15" thickBot="1">
      <c r="A939" s="49">
        <v>45021</v>
      </c>
      <c r="B939" s="29" t="s">
        <v>257</v>
      </c>
      <c r="C939" s="29" t="s">
        <v>258</v>
      </c>
      <c r="D939" s="29" t="s">
        <v>242</v>
      </c>
      <c r="E939" s="29" t="s">
        <v>8</v>
      </c>
      <c r="F939" s="29" t="s">
        <v>259</v>
      </c>
      <c r="G939" s="29" t="s">
        <v>298</v>
      </c>
      <c r="H939" s="32">
        <v>4</v>
      </c>
      <c r="I939" s="32">
        <v>4968.93</v>
      </c>
      <c r="J939" s="32">
        <v>19875.72</v>
      </c>
      <c r="K939" s="29"/>
      <c r="M939" s="29"/>
      <c r="N939" s="29"/>
      <c r="P939" s="29"/>
      <c r="Q939" s="29"/>
      <c r="S939" s="29"/>
      <c r="T939" s="29"/>
      <c r="V939" s="29"/>
      <c r="X939" s="29"/>
      <c r="Y939" s="29"/>
      <c r="Z939" s="29"/>
    </row>
    <row r="940" spans="1:26" ht="15" thickBot="1">
      <c r="A940" s="32" t="s">
        <v>426</v>
      </c>
      <c r="B940" s="29" t="s">
        <v>260</v>
      </c>
      <c r="C940" s="29" t="s">
        <v>241</v>
      </c>
      <c r="D940" s="29" t="s">
        <v>242</v>
      </c>
      <c r="E940" s="29" t="s">
        <v>8</v>
      </c>
      <c r="F940" s="29" t="s">
        <v>245</v>
      </c>
      <c r="G940" s="29" t="s">
        <v>269</v>
      </c>
      <c r="H940" s="32">
        <v>2</v>
      </c>
      <c r="I940" s="32">
        <v>339.56</v>
      </c>
      <c r="J940" s="32">
        <v>679.12</v>
      </c>
      <c r="K940" s="29"/>
      <c r="M940" s="29"/>
      <c r="N940" s="29"/>
      <c r="P940" s="29"/>
      <c r="Q940" s="29"/>
      <c r="S940" s="29"/>
      <c r="T940" s="29"/>
      <c r="V940" s="29"/>
      <c r="X940" s="29"/>
      <c r="Y940" s="29"/>
      <c r="Z940" s="29"/>
    </row>
    <row r="941" spans="1:26" ht="15" thickBot="1">
      <c r="A941" s="32" t="s">
        <v>455</v>
      </c>
      <c r="B941" s="29" t="s">
        <v>235</v>
      </c>
      <c r="C941" s="29" t="s">
        <v>258</v>
      </c>
      <c r="D941" s="29" t="s">
        <v>242</v>
      </c>
      <c r="E941" s="29" t="s">
        <v>8</v>
      </c>
      <c r="F941" s="29" t="s">
        <v>238</v>
      </c>
      <c r="G941" s="29" t="s">
        <v>239</v>
      </c>
      <c r="H941" s="32">
        <v>3</v>
      </c>
      <c r="I941" s="32">
        <v>3853.05</v>
      </c>
      <c r="J941" s="32">
        <v>11559.15</v>
      </c>
      <c r="K941" s="29"/>
      <c r="M941" s="29"/>
      <c r="N941" s="29"/>
      <c r="P941" s="29"/>
      <c r="Q941" s="29"/>
      <c r="S941" s="29"/>
      <c r="T941" s="29"/>
      <c r="V941" s="29"/>
      <c r="X941" s="29"/>
      <c r="Y941" s="29"/>
      <c r="Z941" s="29"/>
    </row>
    <row r="942" spans="1:26" ht="15" thickBot="1">
      <c r="A942" s="32" t="s">
        <v>338</v>
      </c>
      <c r="B942" s="29" t="s">
        <v>240</v>
      </c>
      <c r="C942" s="29" t="s">
        <v>273</v>
      </c>
      <c r="D942" s="29" t="s">
        <v>252</v>
      </c>
      <c r="E942" s="29" t="s">
        <v>5</v>
      </c>
      <c r="F942" s="29" t="s">
        <v>245</v>
      </c>
      <c r="G942" s="29" t="s">
        <v>246</v>
      </c>
      <c r="H942" s="32">
        <v>11</v>
      </c>
      <c r="I942" s="32">
        <v>2212.9</v>
      </c>
      <c r="J942" s="32">
        <v>24341.9</v>
      </c>
      <c r="K942" s="29"/>
      <c r="M942" s="29"/>
      <c r="N942" s="29"/>
      <c r="P942" s="29"/>
      <c r="Q942" s="29"/>
      <c r="S942" s="29"/>
      <c r="T942" s="29"/>
      <c r="V942" s="29"/>
      <c r="X942" s="29"/>
      <c r="Y942" s="29"/>
      <c r="Z942" s="29"/>
    </row>
    <row r="943" spans="1:26" ht="15" thickBot="1">
      <c r="A943" s="49">
        <v>45113</v>
      </c>
      <c r="B943" s="29" t="s">
        <v>268</v>
      </c>
      <c r="C943" s="29" t="s">
        <v>255</v>
      </c>
      <c r="D943" s="29" t="s">
        <v>237</v>
      </c>
      <c r="E943" s="29" t="s">
        <v>8</v>
      </c>
      <c r="F943" s="29" t="s">
        <v>238</v>
      </c>
      <c r="G943" s="29" t="s">
        <v>303</v>
      </c>
      <c r="H943" s="32">
        <v>18</v>
      </c>
      <c r="I943" s="32">
        <v>509.79</v>
      </c>
      <c r="J943" s="32">
        <v>9176.2199999999993</v>
      </c>
      <c r="K943" s="29"/>
      <c r="M943" s="29"/>
      <c r="N943" s="29"/>
      <c r="P943" s="29"/>
      <c r="Q943" s="29"/>
      <c r="S943" s="29"/>
      <c r="T943" s="29"/>
      <c r="V943" s="29"/>
      <c r="X943" s="29"/>
      <c r="Y943" s="29"/>
      <c r="Z943" s="29"/>
    </row>
    <row r="944" spans="1:26" ht="15" thickBot="1">
      <c r="A944" s="49">
        <v>45052</v>
      </c>
      <c r="B944" s="29" t="s">
        <v>280</v>
      </c>
      <c r="C944" s="29" t="s">
        <v>241</v>
      </c>
      <c r="D944" s="29" t="s">
        <v>242</v>
      </c>
      <c r="E944" s="29" t="s">
        <v>8</v>
      </c>
      <c r="F944" s="29" t="s">
        <v>233</v>
      </c>
      <c r="G944" s="29" t="s">
        <v>287</v>
      </c>
      <c r="H944" s="32">
        <v>16</v>
      </c>
      <c r="I944" s="32">
        <v>2724.77</v>
      </c>
      <c r="J944" s="32">
        <v>43596.32</v>
      </c>
      <c r="K944" s="29"/>
      <c r="M944" s="29"/>
      <c r="N944" s="29"/>
      <c r="P944" s="29"/>
      <c r="Q944" s="29"/>
      <c r="S944" s="29"/>
      <c r="T944" s="29"/>
      <c r="V944" s="29"/>
      <c r="X944" s="29"/>
      <c r="Y944" s="29"/>
      <c r="Z944" s="29"/>
    </row>
    <row r="945" spans="1:26" ht="15" thickBot="1">
      <c r="A945" s="32" t="s">
        <v>485</v>
      </c>
      <c r="B945" s="29" t="s">
        <v>271</v>
      </c>
      <c r="C945" s="29" t="s">
        <v>231</v>
      </c>
      <c r="D945" s="29" t="s">
        <v>232</v>
      </c>
      <c r="E945" s="29" t="s">
        <v>6</v>
      </c>
      <c r="F945" s="29" t="s">
        <v>245</v>
      </c>
      <c r="G945" s="29" t="s">
        <v>266</v>
      </c>
      <c r="H945" s="32">
        <v>18</v>
      </c>
      <c r="I945" s="32">
        <v>4718.22</v>
      </c>
      <c r="J945" s="32">
        <v>84927.96</v>
      </c>
      <c r="K945" s="29"/>
      <c r="M945" s="29"/>
      <c r="N945" s="29"/>
      <c r="P945" s="29"/>
      <c r="Q945" s="29"/>
      <c r="S945" s="29"/>
      <c r="T945" s="29"/>
      <c r="V945" s="29"/>
      <c r="X945" s="29"/>
      <c r="Y945" s="29"/>
      <c r="Z945" s="29"/>
    </row>
    <row r="946" spans="1:26" ht="15" thickBot="1">
      <c r="A946" s="32" t="s">
        <v>359</v>
      </c>
      <c r="B946" s="29" t="s">
        <v>271</v>
      </c>
      <c r="C946" s="29" t="s">
        <v>244</v>
      </c>
      <c r="D946" s="29" t="s">
        <v>237</v>
      </c>
      <c r="E946" s="29" t="s">
        <v>8</v>
      </c>
      <c r="F946" s="29" t="s">
        <v>259</v>
      </c>
      <c r="G946" s="29" t="s">
        <v>299</v>
      </c>
      <c r="H946" s="32">
        <v>9</v>
      </c>
      <c r="I946" s="32">
        <v>4811.76</v>
      </c>
      <c r="J946" s="32">
        <v>43305.84</v>
      </c>
      <c r="K946" s="29"/>
      <c r="M946" s="29"/>
      <c r="N946" s="29"/>
      <c r="P946" s="29"/>
      <c r="Q946" s="29"/>
      <c r="S946" s="29"/>
      <c r="T946" s="29"/>
      <c r="V946" s="29"/>
      <c r="X946" s="29"/>
      <c r="Y946" s="29"/>
      <c r="Z946" s="29"/>
    </row>
    <row r="947" spans="1:26" ht="15" thickBot="1">
      <c r="A947" s="49">
        <v>45108</v>
      </c>
      <c r="B947" s="29" t="s">
        <v>230</v>
      </c>
      <c r="C947" s="29" t="s">
        <v>255</v>
      </c>
      <c r="D947" s="29" t="s">
        <v>237</v>
      </c>
      <c r="E947" s="29" t="s">
        <v>8</v>
      </c>
      <c r="F947" s="29" t="s">
        <v>233</v>
      </c>
      <c r="G947" s="29" t="s">
        <v>304</v>
      </c>
      <c r="H947" s="32">
        <v>8</v>
      </c>
      <c r="I947" s="32">
        <v>4021.86</v>
      </c>
      <c r="J947" s="32">
        <v>32174.880000000001</v>
      </c>
      <c r="K947" s="29"/>
      <c r="M947" s="29"/>
      <c r="N947" s="29"/>
      <c r="P947" s="29"/>
      <c r="Q947" s="29"/>
      <c r="S947" s="29"/>
      <c r="T947" s="29"/>
      <c r="V947" s="29"/>
      <c r="X947" s="29"/>
      <c r="Y947" s="29"/>
      <c r="Z947" s="29"/>
    </row>
    <row r="948" spans="1:26" ht="15" thickBot="1">
      <c r="A948" s="32" t="s">
        <v>405</v>
      </c>
      <c r="B948" s="29" t="s">
        <v>280</v>
      </c>
      <c r="C948" s="29" t="s">
        <v>258</v>
      </c>
      <c r="D948" s="29" t="s">
        <v>242</v>
      </c>
      <c r="E948" s="29" t="s">
        <v>8</v>
      </c>
      <c r="F948" s="29" t="s">
        <v>233</v>
      </c>
      <c r="G948" s="29" t="s">
        <v>287</v>
      </c>
      <c r="H948" s="32">
        <v>16</v>
      </c>
      <c r="I948" s="32">
        <v>4008.72</v>
      </c>
      <c r="J948" s="32">
        <v>64139.519999999997</v>
      </c>
      <c r="K948" s="29"/>
      <c r="M948" s="29"/>
      <c r="N948" s="29"/>
      <c r="P948" s="29"/>
      <c r="Q948" s="29"/>
      <c r="S948" s="29"/>
      <c r="T948" s="29"/>
      <c r="V948" s="29"/>
      <c r="X948" s="29"/>
      <c r="Y948" s="29"/>
      <c r="Z948" s="29"/>
    </row>
    <row r="949" spans="1:26" ht="15" thickBot="1">
      <c r="A949" s="32" t="s">
        <v>380</v>
      </c>
      <c r="B949" s="29" t="s">
        <v>230</v>
      </c>
      <c r="C949" s="29" t="s">
        <v>276</v>
      </c>
      <c r="D949" s="29" t="s">
        <v>247</v>
      </c>
      <c r="E949" s="29" t="s">
        <v>6</v>
      </c>
      <c r="F949" s="29" t="s">
        <v>233</v>
      </c>
      <c r="G949" s="29" t="s">
        <v>304</v>
      </c>
      <c r="H949" s="32">
        <v>14</v>
      </c>
      <c r="I949" s="32">
        <v>4793.38</v>
      </c>
      <c r="J949" s="32">
        <v>67107.320000000007</v>
      </c>
      <c r="K949" s="29"/>
      <c r="M949" s="29"/>
      <c r="N949" s="29"/>
      <c r="P949" s="29"/>
      <c r="Q949" s="29"/>
      <c r="S949" s="29"/>
      <c r="T949" s="29"/>
      <c r="V949" s="29"/>
      <c r="X949" s="29"/>
      <c r="Y949" s="29"/>
      <c r="Z949" s="29"/>
    </row>
    <row r="950" spans="1:26" ht="15" thickBot="1">
      <c r="A950" s="32" t="s">
        <v>476</v>
      </c>
      <c r="B950" s="29" t="s">
        <v>257</v>
      </c>
      <c r="C950" s="29" t="s">
        <v>281</v>
      </c>
      <c r="D950" s="29" t="s">
        <v>252</v>
      </c>
      <c r="E950" s="29" t="s">
        <v>5</v>
      </c>
      <c r="F950" s="29" t="s">
        <v>233</v>
      </c>
      <c r="G950" s="29" t="s">
        <v>301</v>
      </c>
      <c r="H950" s="32">
        <v>14</v>
      </c>
      <c r="I950" s="32">
        <v>4816.3900000000003</v>
      </c>
      <c r="J950" s="32">
        <v>67429.460000000006</v>
      </c>
      <c r="K950" s="29"/>
      <c r="M950" s="29"/>
      <c r="N950" s="29"/>
      <c r="P950" s="29"/>
      <c r="Q950" s="29"/>
      <c r="S950" s="29"/>
      <c r="T950" s="29"/>
      <c r="V950" s="29"/>
      <c r="X950" s="29"/>
      <c r="Y950" s="29"/>
      <c r="Z950" s="29"/>
    </row>
    <row r="951" spans="1:26" ht="15" thickBot="1">
      <c r="A951" s="32" t="s">
        <v>329</v>
      </c>
      <c r="B951" s="29" t="s">
        <v>254</v>
      </c>
      <c r="C951" s="29" t="s">
        <v>316</v>
      </c>
      <c r="D951" s="29" t="s">
        <v>247</v>
      </c>
      <c r="E951" s="29" t="s">
        <v>6</v>
      </c>
      <c r="F951" s="29" t="s">
        <v>233</v>
      </c>
      <c r="G951" s="29" t="s">
        <v>234</v>
      </c>
      <c r="H951" s="32">
        <v>6</v>
      </c>
      <c r="I951" s="32">
        <v>4072.51</v>
      </c>
      <c r="J951" s="32">
        <v>24435.06</v>
      </c>
      <c r="K951" s="29"/>
      <c r="M951" s="29"/>
      <c r="N951" s="29"/>
      <c r="P951" s="29"/>
      <c r="Q951" s="29"/>
      <c r="S951" s="29"/>
      <c r="T951" s="29"/>
      <c r="V951" s="29"/>
      <c r="X951" s="29"/>
      <c r="Y951" s="29"/>
      <c r="Z951" s="29"/>
    </row>
    <row r="952" spans="1:26" ht="15" thickBot="1">
      <c r="A952" s="49">
        <v>45263</v>
      </c>
      <c r="B952" s="29" t="s">
        <v>260</v>
      </c>
      <c r="C952" s="29" t="s">
        <v>249</v>
      </c>
      <c r="D952" s="29" t="s">
        <v>232</v>
      </c>
      <c r="E952" s="29" t="s">
        <v>6</v>
      </c>
      <c r="F952" s="29" t="s">
        <v>250</v>
      </c>
      <c r="G952" s="29" t="s">
        <v>293</v>
      </c>
      <c r="H952" s="32">
        <v>2</v>
      </c>
      <c r="I952" s="32">
        <v>1269.81</v>
      </c>
      <c r="J952" s="32">
        <v>2539.62</v>
      </c>
      <c r="K952" s="29"/>
      <c r="M952" s="29"/>
      <c r="N952" s="29"/>
      <c r="P952" s="29"/>
      <c r="Q952" s="29"/>
      <c r="S952" s="29"/>
      <c r="T952" s="29"/>
      <c r="V952" s="29"/>
      <c r="X952" s="29"/>
      <c r="Y952" s="29"/>
      <c r="Z952" s="29"/>
    </row>
    <row r="953" spans="1:26" ht="15" thickBot="1">
      <c r="A953" s="32" t="s">
        <v>397</v>
      </c>
      <c r="B953" s="29" t="s">
        <v>268</v>
      </c>
      <c r="C953" s="29" t="s">
        <v>316</v>
      </c>
      <c r="D953" s="29" t="s">
        <v>247</v>
      </c>
      <c r="E953" s="29" t="s">
        <v>6</v>
      </c>
      <c r="F953" s="29" t="s">
        <v>250</v>
      </c>
      <c r="G953" s="29" t="s">
        <v>284</v>
      </c>
      <c r="H953" s="32">
        <v>13</v>
      </c>
      <c r="I953" s="32">
        <v>3071.93</v>
      </c>
      <c r="J953" s="32">
        <v>39935.089999999997</v>
      </c>
      <c r="K953" s="29"/>
      <c r="M953" s="29"/>
      <c r="N953" s="29"/>
      <c r="P953" s="29"/>
      <c r="Q953" s="29"/>
      <c r="S953" s="29"/>
      <c r="T953" s="29"/>
      <c r="V953" s="29"/>
      <c r="X953" s="29"/>
      <c r="Y953" s="29"/>
      <c r="Z953" s="29"/>
    </row>
    <row r="954" spans="1:26" ht="15" thickBot="1">
      <c r="A954" s="32" t="s">
        <v>349</v>
      </c>
      <c r="B954" s="29" t="s">
        <v>248</v>
      </c>
      <c r="C954" s="29" t="s">
        <v>261</v>
      </c>
      <c r="D954" s="29" t="s">
        <v>247</v>
      </c>
      <c r="E954" s="29" t="s">
        <v>6</v>
      </c>
      <c r="F954" s="29" t="s">
        <v>245</v>
      </c>
      <c r="G954" s="29" t="s">
        <v>246</v>
      </c>
      <c r="H954" s="32">
        <v>5</v>
      </c>
      <c r="I954" s="32">
        <v>4686.67</v>
      </c>
      <c r="J954" s="32">
        <v>23433.35</v>
      </c>
      <c r="K954" s="29"/>
      <c r="M954" s="29"/>
      <c r="N954" s="29"/>
      <c r="P954" s="29"/>
      <c r="Q954" s="29"/>
      <c r="S954" s="29"/>
      <c r="T954" s="29"/>
      <c r="V954" s="29"/>
      <c r="X954" s="29"/>
      <c r="Y954" s="29"/>
      <c r="Z954" s="29"/>
    </row>
    <row r="955" spans="1:26" ht="15" thickBot="1">
      <c r="A955" s="32" t="s">
        <v>317</v>
      </c>
      <c r="B955" s="29" t="s">
        <v>280</v>
      </c>
      <c r="C955" s="29" t="s">
        <v>231</v>
      </c>
      <c r="D955" s="29" t="s">
        <v>232</v>
      </c>
      <c r="E955" s="29" t="s">
        <v>6</v>
      </c>
      <c r="F955" s="29" t="s">
        <v>233</v>
      </c>
      <c r="G955" s="29" t="s">
        <v>301</v>
      </c>
      <c r="H955" s="32">
        <v>5</v>
      </c>
      <c r="I955" s="32">
        <v>4504.17</v>
      </c>
      <c r="J955" s="32">
        <v>22520.85</v>
      </c>
      <c r="K955" s="29"/>
      <c r="M955" s="29"/>
      <c r="N955" s="29"/>
      <c r="P955" s="29"/>
      <c r="Q955" s="29"/>
      <c r="S955" s="29"/>
      <c r="T955" s="29"/>
      <c r="V955" s="29"/>
      <c r="X955" s="29"/>
      <c r="Y955" s="29"/>
      <c r="Z955" s="29"/>
    </row>
    <row r="956" spans="1:26" ht="15" thickBot="1">
      <c r="A956" s="32" t="s">
        <v>328</v>
      </c>
      <c r="B956" s="29" t="s">
        <v>230</v>
      </c>
      <c r="C956" s="29" t="s">
        <v>241</v>
      </c>
      <c r="D956" s="29" t="s">
        <v>242</v>
      </c>
      <c r="E956" s="29" t="s">
        <v>8</v>
      </c>
      <c r="F956" s="29" t="s">
        <v>233</v>
      </c>
      <c r="G956" s="29" t="s">
        <v>234</v>
      </c>
      <c r="H956" s="32">
        <v>3</v>
      </c>
      <c r="I956" s="32">
        <v>559.70000000000005</v>
      </c>
      <c r="J956" s="32">
        <v>1679.1</v>
      </c>
      <c r="K956" s="29"/>
      <c r="M956" s="29"/>
      <c r="N956" s="29"/>
      <c r="P956" s="29"/>
      <c r="Q956" s="29"/>
      <c r="S956" s="29"/>
      <c r="T956" s="29"/>
      <c r="V956" s="29"/>
      <c r="X956" s="29"/>
      <c r="Y956" s="29"/>
      <c r="Z956" s="29"/>
    </row>
    <row r="957" spans="1:26" ht="15" thickBot="1">
      <c r="A957" s="32" t="s">
        <v>394</v>
      </c>
      <c r="B957" s="29" t="s">
        <v>240</v>
      </c>
      <c r="C957" s="29" t="s">
        <v>258</v>
      </c>
      <c r="D957" s="29" t="s">
        <v>242</v>
      </c>
      <c r="E957" s="29" t="s">
        <v>8</v>
      </c>
      <c r="F957" s="29" t="s">
        <v>250</v>
      </c>
      <c r="G957" s="29" t="s">
        <v>277</v>
      </c>
      <c r="H957" s="32">
        <v>17</v>
      </c>
      <c r="I957" s="32">
        <v>1975.71</v>
      </c>
      <c r="J957" s="32">
        <v>33587.07</v>
      </c>
      <c r="K957" s="29"/>
      <c r="M957" s="29"/>
      <c r="N957" s="29"/>
      <c r="P957" s="29"/>
      <c r="Q957" s="29"/>
      <c r="S957" s="29"/>
      <c r="T957" s="29"/>
      <c r="V957" s="29"/>
      <c r="X957" s="29"/>
      <c r="Y957" s="29"/>
      <c r="Z957" s="29"/>
    </row>
    <row r="958" spans="1:26" ht="15" thickBot="1">
      <c r="A958" s="49">
        <v>45180</v>
      </c>
      <c r="B958" s="29" t="s">
        <v>248</v>
      </c>
      <c r="C958" s="29" t="s">
        <v>281</v>
      </c>
      <c r="D958" s="29" t="s">
        <v>252</v>
      </c>
      <c r="E958" s="29" t="s">
        <v>5</v>
      </c>
      <c r="F958" s="29" t="s">
        <v>233</v>
      </c>
      <c r="G958" s="29" t="s">
        <v>234</v>
      </c>
      <c r="H958" s="32">
        <v>8</v>
      </c>
      <c r="I958" s="32">
        <v>4175.5600000000004</v>
      </c>
      <c r="J958" s="32">
        <v>33404.480000000003</v>
      </c>
      <c r="K958" s="29"/>
      <c r="M958" s="29"/>
      <c r="N958" s="29"/>
      <c r="P958" s="29"/>
      <c r="Q958" s="29"/>
      <c r="S958" s="29"/>
      <c r="T958" s="29"/>
      <c r="V958" s="29"/>
      <c r="X958" s="29"/>
      <c r="Y958" s="29"/>
      <c r="Z958" s="29"/>
    </row>
    <row r="959" spans="1:26" ht="15" thickBot="1">
      <c r="A959" s="32" t="s">
        <v>345</v>
      </c>
      <c r="B959" s="29" t="s">
        <v>230</v>
      </c>
      <c r="C959" s="29" t="s">
        <v>258</v>
      </c>
      <c r="D959" s="29" t="s">
        <v>242</v>
      </c>
      <c r="E959" s="29" t="s">
        <v>8</v>
      </c>
      <c r="F959" s="29" t="s">
        <v>259</v>
      </c>
      <c r="G959" s="29" t="s">
        <v>298</v>
      </c>
      <c r="H959" s="32">
        <v>14</v>
      </c>
      <c r="I959" s="32">
        <v>2535.08</v>
      </c>
      <c r="J959" s="32">
        <v>35491.120000000003</v>
      </c>
      <c r="K959" s="29"/>
      <c r="M959" s="29"/>
      <c r="N959" s="29"/>
      <c r="P959" s="29"/>
      <c r="Q959" s="29"/>
      <c r="S959" s="29"/>
      <c r="T959" s="29"/>
      <c r="V959" s="29"/>
      <c r="X959" s="29"/>
      <c r="Y959" s="29"/>
      <c r="Z959" s="29"/>
    </row>
    <row r="960" spans="1:26" ht="15" thickBot="1">
      <c r="A960" s="49">
        <v>45023</v>
      </c>
      <c r="B960" s="29" t="s">
        <v>254</v>
      </c>
      <c r="C960" s="29" t="s">
        <v>255</v>
      </c>
      <c r="D960" s="29" t="s">
        <v>237</v>
      </c>
      <c r="E960" s="29" t="s">
        <v>8</v>
      </c>
      <c r="F960" s="29" t="s">
        <v>259</v>
      </c>
      <c r="G960" s="29" t="s">
        <v>179</v>
      </c>
      <c r="H960" s="32">
        <v>14</v>
      </c>
      <c r="I960" s="32">
        <v>2161.65</v>
      </c>
      <c r="J960" s="32">
        <v>30263.1</v>
      </c>
      <c r="K960" s="29"/>
      <c r="M960" s="29"/>
      <c r="N960" s="29"/>
      <c r="P960" s="29"/>
      <c r="Q960" s="29"/>
      <c r="S960" s="29"/>
      <c r="T960" s="29"/>
      <c r="V960" s="29"/>
      <c r="X960" s="29"/>
      <c r="Y960" s="29"/>
      <c r="Z960" s="29"/>
    </row>
    <row r="961" spans="1:26" ht="15" thickBot="1">
      <c r="A961" s="49">
        <v>45087</v>
      </c>
      <c r="B961" s="29" t="s">
        <v>254</v>
      </c>
      <c r="C961" s="29" t="s">
        <v>281</v>
      </c>
      <c r="D961" s="29" t="s">
        <v>252</v>
      </c>
      <c r="E961" s="29" t="s">
        <v>5</v>
      </c>
      <c r="F961" s="29" t="s">
        <v>259</v>
      </c>
      <c r="G961" s="29" t="s">
        <v>299</v>
      </c>
      <c r="H961" s="32">
        <v>11</v>
      </c>
      <c r="I961" s="32">
        <v>3424.45</v>
      </c>
      <c r="J961" s="32">
        <v>37668.949999999997</v>
      </c>
      <c r="K961" s="29"/>
      <c r="M961" s="29"/>
      <c r="N961" s="29"/>
      <c r="P961" s="29"/>
      <c r="Q961" s="29"/>
      <c r="S961" s="29"/>
      <c r="T961" s="29"/>
      <c r="V961" s="29"/>
      <c r="X961" s="29"/>
      <c r="Y961" s="29"/>
      <c r="Z961" s="29"/>
    </row>
    <row r="962" spans="1:26" ht="15" thickBot="1">
      <c r="A962" s="32" t="s">
        <v>491</v>
      </c>
      <c r="B962" s="29" t="s">
        <v>260</v>
      </c>
      <c r="C962" s="29" t="s">
        <v>316</v>
      </c>
      <c r="D962" s="29" t="s">
        <v>247</v>
      </c>
      <c r="E962" s="29" t="s">
        <v>6</v>
      </c>
      <c r="F962" s="29" t="s">
        <v>250</v>
      </c>
      <c r="G962" s="29" t="s">
        <v>251</v>
      </c>
      <c r="H962" s="32">
        <v>10</v>
      </c>
      <c r="I962" s="32">
        <v>1167.21</v>
      </c>
      <c r="J962" s="32">
        <v>11672.1</v>
      </c>
      <c r="K962" s="29"/>
      <c r="M962" s="29"/>
      <c r="N962" s="29"/>
      <c r="P962" s="29"/>
      <c r="Q962" s="29"/>
      <c r="S962" s="29"/>
      <c r="T962" s="29"/>
      <c r="V962" s="29"/>
      <c r="X962" s="29"/>
      <c r="Y962" s="29"/>
      <c r="Z962" s="29"/>
    </row>
    <row r="963" spans="1:26" ht="15" thickBot="1">
      <c r="A963" s="32" t="s">
        <v>346</v>
      </c>
      <c r="B963" s="29" t="s">
        <v>268</v>
      </c>
      <c r="C963" s="29" t="s">
        <v>316</v>
      </c>
      <c r="D963" s="29" t="s">
        <v>247</v>
      </c>
      <c r="E963" s="29" t="s">
        <v>6</v>
      </c>
      <c r="F963" s="29" t="s">
        <v>238</v>
      </c>
      <c r="G963" s="29" t="s">
        <v>239</v>
      </c>
      <c r="H963" s="32">
        <v>7</v>
      </c>
      <c r="I963" s="32">
        <v>500.63</v>
      </c>
      <c r="J963" s="32">
        <v>3504.41</v>
      </c>
      <c r="K963" s="29"/>
      <c r="M963" s="29"/>
      <c r="N963" s="29"/>
      <c r="P963" s="29"/>
      <c r="Q963" s="29"/>
      <c r="S963" s="29"/>
      <c r="T963" s="29"/>
      <c r="V963" s="29"/>
      <c r="X963" s="29"/>
      <c r="Y963" s="29"/>
      <c r="Z963" s="29"/>
    </row>
    <row r="964" spans="1:26" ht="15" thickBot="1">
      <c r="A964" s="49">
        <v>45027</v>
      </c>
      <c r="B964" s="29" t="s">
        <v>257</v>
      </c>
      <c r="C964" s="29" t="s">
        <v>273</v>
      </c>
      <c r="D964" s="29" t="s">
        <v>252</v>
      </c>
      <c r="E964" s="29" t="s">
        <v>5</v>
      </c>
      <c r="F964" s="29" t="s">
        <v>233</v>
      </c>
      <c r="G964" s="29" t="s">
        <v>304</v>
      </c>
      <c r="H964" s="32">
        <v>10</v>
      </c>
      <c r="I964" s="32">
        <v>1050.8399999999999</v>
      </c>
      <c r="J964" s="32">
        <v>10508.4</v>
      </c>
      <c r="K964" s="29"/>
      <c r="M964" s="29"/>
      <c r="N964" s="29"/>
      <c r="P964" s="29"/>
      <c r="Q964" s="29"/>
      <c r="S964" s="29"/>
      <c r="T964" s="29"/>
      <c r="V964" s="29"/>
      <c r="X964" s="29"/>
      <c r="Y964" s="29"/>
      <c r="Z964" s="29"/>
    </row>
    <row r="965" spans="1:26" ht="15" thickBot="1">
      <c r="A965" s="32" t="s">
        <v>396</v>
      </c>
      <c r="B965" s="29" t="s">
        <v>280</v>
      </c>
      <c r="C965" s="29" t="s">
        <v>283</v>
      </c>
      <c r="D965" s="29" t="s">
        <v>242</v>
      </c>
      <c r="E965" s="29" t="s">
        <v>8</v>
      </c>
      <c r="F965" s="29" t="s">
        <v>233</v>
      </c>
      <c r="G965" s="29" t="s">
        <v>301</v>
      </c>
      <c r="H965" s="32">
        <v>14</v>
      </c>
      <c r="I965" s="32">
        <v>3726.3</v>
      </c>
      <c r="J965" s="32">
        <v>52168.2</v>
      </c>
      <c r="K965" s="29"/>
      <c r="M965" s="29"/>
      <c r="N965" s="29"/>
      <c r="P965" s="29"/>
      <c r="Q965" s="29"/>
      <c r="S965" s="29"/>
      <c r="T965" s="29"/>
      <c r="V965" s="29"/>
      <c r="X965" s="29"/>
      <c r="Y965" s="29"/>
      <c r="Z965" s="29"/>
    </row>
    <row r="966" spans="1:26" ht="15" thickBot="1">
      <c r="A966" s="32" t="s">
        <v>243</v>
      </c>
      <c r="B966" s="29" t="s">
        <v>248</v>
      </c>
      <c r="C966" s="29" t="s">
        <v>255</v>
      </c>
      <c r="D966" s="29" t="s">
        <v>237</v>
      </c>
      <c r="E966" s="29" t="s">
        <v>8</v>
      </c>
      <c r="F966" s="29" t="s">
        <v>245</v>
      </c>
      <c r="G966" s="29" t="s">
        <v>266</v>
      </c>
      <c r="H966" s="32">
        <v>10</v>
      </c>
      <c r="I966" s="32">
        <v>651.83000000000004</v>
      </c>
      <c r="J966" s="32">
        <v>6518.3</v>
      </c>
      <c r="K966" s="29"/>
      <c r="M966" s="29"/>
      <c r="N966" s="29"/>
      <c r="P966" s="29"/>
      <c r="Q966" s="29"/>
      <c r="S966" s="29"/>
      <c r="T966" s="29"/>
      <c r="V966" s="29"/>
      <c r="X966" s="29"/>
      <c r="Y966" s="29"/>
      <c r="Z966" s="29"/>
    </row>
    <row r="967" spans="1:26" ht="15" thickBot="1">
      <c r="A967" s="32" t="s">
        <v>428</v>
      </c>
      <c r="B967" s="29" t="s">
        <v>260</v>
      </c>
      <c r="C967" s="29" t="s">
        <v>274</v>
      </c>
      <c r="D967" s="29" t="s">
        <v>232</v>
      </c>
      <c r="E967" s="29" t="s">
        <v>6</v>
      </c>
      <c r="F967" s="29" t="s">
        <v>233</v>
      </c>
      <c r="G967" s="29" t="s">
        <v>304</v>
      </c>
      <c r="H967" s="32">
        <v>4</v>
      </c>
      <c r="I967" s="32">
        <v>1077.23</v>
      </c>
      <c r="J967" s="32">
        <v>4308.92</v>
      </c>
      <c r="K967" s="29"/>
      <c r="M967" s="29"/>
      <c r="N967" s="29"/>
      <c r="P967" s="29"/>
      <c r="Q967" s="29"/>
      <c r="S967" s="29"/>
      <c r="T967" s="29"/>
      <c r="V967" s="29"/>
      <c r="X967" s="29"/>
      <c r="Y967" s="29"/>
      <c r="Z967" s="29"/>
    </row>
    <row r="968" spans="1:26" ht="15" thickBot="1">
      <c r="A968" s="32" t="s">
        <v>336</v>
      </c>
      <c r="B968" s="29" t="s">
        <v>280</v>
      </c>
      <c r="C968" s="29" t="s">
        <v>273</v>
      </c>
      <c r="D968" s="29" t="s">
        <v>252</v>
      </c>
      <c r="E968" s="29" t="s">
        <v>5</v>
      </c>
      <c r="F968" s="29" t="s">
        <v>259</v>
      </c>
      <c r="G968" s="29" t="s">
        <v>182</v>
      </c>
      <c r="H968" s="32">
        <v>15</v>
      </c>
      <c r="I968" s="32">
        <v>4554.78</v>
      </c>
      <c r="J968" s="32">
        <v>68321.7</v>
      </c>
      <c r="K968" s="29"/>
      <c r="M968" s="29"/>
      <c r="N968" s="29"/>
      <c r="P968" s="29"/>
      <c r="Q968" s="29"/>
      <c r="S968" s="29"/>
      <c r="T968" s="29"/>
      <c r="V968" s="29"/>
      <c r="X968" s="29"/>
      <c r="Y968" s="29"/>
      <c r="Z968" s="29"/>
    </row>
    <row r="969" spans="1:26" ht="15" thickBot="1">
      <c r="A969" s="32" t="s">
        <v>318</v>
      </c>
      <c r="B969" s="29" t="s">
        <v>254</v>
      </c>
      <c r="C969" s="29" t="s">
        <v>276</v>
      </c>
      <c r="D969" s="29" t="s">
        <v>247</v>
      </c>
      <c r="E969" s="29" t="s">
        <v>6</v>
      </c>
      <c r="F969" s="29" t="s">
        <v>238</v>
      </c>
      <c r="G969" s="29" t="s">
        <v>296</v>
      </c>
      <c r="H969" s="32">
        <v>19</v>
      </c>
      <c r="I969" s="32">
        <v>1003.13</v>
      </c>
      <c r="J969" s="32">
        <v>19059.47</v>
      </c>
      <c r="K969" s="29"/>
      <c r="M969" s="29"/>
      <c r="N969" s="29"/>
      <c r="P969" s="29"/>
      <c r="Q969" s="29"/>
      <c r="S969" s="29"/>
      <c r="T969" s="29"/>
      <c r="V969" s="29"/>
      <c r="X969" s="29"/>
      <c r="Y969" s="29"/>
      <c r="Z969" s="29"/>
    </row>
    <row r="970" spans="1:26" ht="15" thickBot="1">
      <c r="A970" s="32" t="s">
        <v>492</v>
      </c>
      <c r="B970" s="29" t="s">
        <v>230</v>
      </c>
      <c r="C970" s="29" t="s">
        <v>283</v>
      </c>
      <c r="D970" s="29" t="s">
        <v>242</v>
      </c>
      <c r="E970" s="29" t="s">
        <v>8</v>
      </c>
      <c r="F970" s="29" t="s">
        <v>250</v>
      </c>
      <c r="G970" s="29" t="s">
        <v>277</v>
      </c>
      <c r="H970" s="32">
        <v>7</v>
      </c>
      <c r="I970" s="32">
        <v>3168.77</v>
      </c>
      <c r="J970" s="32">
        <v>22181.39</v>
      </c>
      <c r="K970" s="29"/>
      <c r="M970" s="29"/>
      <c r="N970" s="29"/>
      <c r="P970" s="29"/>
      <c r="Q970" s="29"/>
      <c r="S970" s="29"/>
      <c r="T970" s="29"/>
      <c r="V970" s="29"/>
      <c r="X970" s="29"/>
      <c r="Y970" s="29"/>
      <c r="Z970" s="29"/>
    </row>
    <row r="971" spans="1:26" ht="15" thickBot="1">
      <c r="A971" s="32" t="s">
        <v>388</v>
      </c>
      <c r="B971" s="29" t="s">
        <v>254</v>
      </c>
      <c r="C971" s="29" t="s">
        <v>273</v>
      </c>
      <c r="D971" s="29" t="s">
        <v>252</v>
      </c>
      <c r="E971" s="29" t="s">
        <v>5</v>
      </c>
      <c r="F971" s="29" t="s">
        <v>238</v>
      </c>
      <c r="G971" s="29" t="s">
        <v>256</v>
      </c>
      <c r="H971" s="32">
        <v>19</v>
      </c>
      <c r="I971" s="32">
        <v>4528.95</v>
      </c>
      <c r="J971" s="32">
        <v>86050.05</v>
      </c>
      <c r="K971" s="29"/>
      <c r="M971" s="29"/>
      <c r="N971" s="29"/>
      <c r="P971" s="29"/>
      <c r="Q971" s="29"/>
      <c r="S971" s="29"/>
      <c r="T971" s="29"/>
      <c r="V971" s="29"/>
      <c r="X971" s="29"/>
      <c r="Y971" s="29"/>
      <c r="Z971" s="29"/>
    </row>
    <row r="972" spans="1:26" ht="15" thickBot="1">
      <c r="A972" s="32" t="s">
        <v>423</v>
      </c>
      <c r="B972" s="29" t="s">
        <v>240</v>
      </c>
      <c r="C972" s="29" t="s">
        <v>283</v>
      </c>
      <c r="D972" s="29" t="s">
        <v>242</v>
      </c>
      <c r="E972" s="29" t="s">
        <v>8</v>
      </c>
      <c r="F972" s="29" t="s">
        <v>259</v>
      </c>
      <c r="G972" s="29" t="s">
        <v>182</v>
      </c>
      <c r="H972" s="32">
        <v>5</v>
      </c>
      <c r="I972" s="32">
        <v>2480.84</v>
      </c>
      <c r="J972" s="32">
        <v>12404.2</v>
      </c>
      <c r="K972" s="29"/>
      <c r="M972" s="29"/>
      <c r="N972" s="29"/>
      <c r="P972" s="29"/>
      <c r="Q972" s="29"/>
      <c r="S972" s="29"/>
      <c r="T972" s="29"/>
      <c r="V972" s="29"/>
      <c r="X972" s="29"/>
      <c r="Y972" s="29"/>
      <c r="Z972" s="29"/>
    </row>
    <row r="973" spans="1:26" ht="15" thickBot="1">
      <c r="A973" s="49">
        <v>45051</v>
      </c>
      <c r="B973" s="29" t="s">
        <v>268</v>
      </c>
      <c r="C973" s="29" t="s">
        <v>313</v>
      </c>
      <c r="D973" s="29" t="s">
        <v>252</v>
      </c>
      <c r="E973" s="29" t="s">
        <v>5</v>
      </c>
      <c r="F973" s="29" t="s">
        <v>245</v>
      </c>
      <c r="G973" s="29" t="s">
        <v>295</v>
      </c>
      <c r="H973" s="32">
        <v>11</v>
      </c>
      <c r="I973" s="32">
        <v>4740.79</v>
      </c>
      <c r="J973" s="32">
        <v>52148.69</v>
      </c>
      <c r="K973" s="29"/>
      <c r="M973" s="29"/>
      <c r="N973" s="29"/>
      <c r="P973" s="29"/>
      <c r="Q973" s="29"/>
      <c r="S973" s="29"/>
      <c r="T973" s="29"/>
      <c r="V973" s="29"/>
      <c r="X973" s="29"/>
      <c r="Y973" s="29"/>
      <c r="Z973" s="29"/>
    </row>
    <row r="974" spans="1:26" ht="15" thickBot="1">
      <c r="A974" s="32" t="s">
        <v>327</v>
      </c>
      <c r="B974" s="29" t="s">
        <v>257</v>
      </c>
      <c r="C974" s="29" t="s">
        <v>313</v>
      </c>
      <c r="D974" s="29" t="s">
        <v>252</v>
      </c>
      <c r="E974" s="29" t="s">
        <v>5</v>
      </c>
      <c r="F974" s="29" t="s">
        <v>250</v>
      </c>
      <c r="G974" s="29" t="s">
        <v>251</v>
      </c>
      <c r="H974" s="32">
        <v>16</v>
      </c>
      <c r="I974" s="32">
        <v>2687.77</v>
      </c>
      <c r="J974" s="32">
        <v>43004.32</v>
      </c>
      <c r="K974" s="29"/>
      <c r="M974" s="29"/>
      <c r="N974" s="29"/>
      <c r="P974" s="29"/>
      <c r="Q974" s="29"/>
      <c r="S974" s="29"/>
      <c r="T974" s="29"/>
      <c r="V974" s="29"/>
      <c r="X974" s="29"/>
      <c r="Y974" s="29"/>
      <c r="Z974" s="29"/>
    </row>
    <row r="975" spans="1:26" ht="15" thickBot="1">
      <c r="A975" s="49">
        <v>45024</v>
      </c>
      <c r="B975" s="29" t="s">
        <v>254</v>
      </c>
      <c r="C975" s="29" t="s">
        <v>244</v>
      </c>
      <c r="D975" s="29" t="s">
        <v>237</v>
      </c>
      <c r="E975" s="29" t="s">
        <v>8</v>
      </c>
      <c r="F975" s="29" t="s">
        <v>250</v>
      </c>
      <c r="G975" s="29" t="s">
        <v>277</v>
      </c>
      <c r="H975" s="32">
        <v>15</v>
      </c>
      <c r="I975" s="32">
        <v>2472.8000000000002</v>
      </c>
      <c r="J975" s="32">
        <v>37092</v>
      </c>
      <c r="K975" s="29"/>
      <c r="M975" s="29"/>
      <c r="N975" s="29"/>
      <c r="P975" s="29"/>
      <c r="Q975" s="29"/>
      <c r="S975" s="29"/>
      <c r="T975" s="29"/>
      <c r="V975" s="29"/>
      <c r="X975" s="29"/>
      <c r="Y975" s="29"/>
      <c r="Z975" s="29"/>
    </row>
    <row r="976" spans="1:26" ht="15" thickBot="1">
      <c r="A976" s="32" t="s">
        <v>264</v>
      </c>
      <c r="B976" s="29" t="s">
        <v>280</v>
      </c>
      <c r="C976" s="29" t="s">
        <v>313</v>
      </c>
      <c r="D976" s="29" t="s">
        <v>252</v>
      </c>
      <c r="E976" s="29" t="s">
        <v>5</v>
      </c>
      <c r="F976" s="29" t="s">
        <v>233</v>
      </c>
      <c r="G976" s="29" t="s">
        <v>234</v>
      </c>
      <c r="H976" s="32">
        <v>3</v>
      </c>
      <c r="I976" s="32">
        <v>3814.12</v>
      </c>
      <c r="J976" s="32">
        <v>11442.36</v>
      </c>
      <c r="K976" s="29"/>
      <c r="M976" s="29"/>
      <c r="N976" s="29"/>
      <c r="P976" s="29"/>
      <c r="Q976" s="29"/>
      <c r="S976" s="29"/>
      <c r="T976" s="29"/>
      <c r="V976" s="29"/>
      <c r="X976" s="29"/>
      <c r="Y976" s="29"/>
      <c r="Z976" s="29"/>
    </row>
    <row r="977" spans="1:26" ht="15" thickBot="1">
      <c r="A977" s="32" t="s">
        <v>441</v>
      </c>
      <c r="B977" s="29" t="s">
        <v>280</v>
      </c>
      <c r="C977" s="29" t="s">
        <v>261</v>
      </c>
      <c r="D977" s="29" t="s">
        <v>247</v>
      </c>
      <c r="E977" s="29" t="s">
        <v>6</v>
      </c>
      <c r="F977" s="29" t="s">
        <v>233</v>
      </c>
      <c r="G977" s="29" t="s">
        <v>287</v>
      </c>
      <c r="H977" s="32">
        <v>1</v>
      </c>
      <c r="I977" s="32">
        <v>2333.7800000000002</v>
      </c>
      <c r="J977" s="32">
        <v>2333.7800000000002</v>
      </c>
      <c r="K977" s="29"/>
      <c r="M977" s="29"/>
      <c r="N977" s="29"/>
      <c r="P977" s="29"/>
      <c r="Q977" s="29"/>
      <c r="S977" s="29"/>
      <c r="T977" s="29"/>
      <c r="V977" s="29"/>
      <c r="X977" s="29"/>
      <c r="Y977" s="29"/>
      <c r="Z977" s="29"/>
    </row>
    <row r="978" spans="1:26" ht="15" thickBot="1">
      <c r="A978" s="32" t="s">
        <v>405</v>
      </c>
      <c r="B978" s="29" t="s">
        <v>248</v>
      </c>
      <c r="C978" s="29" t="s">
        <v>231</v>
      </c>
      <c r="D978" s="29" t="s">
        <v>232</v>
      </c>
      <c r="E978" s="29" t="s">
        <v>6</v>
      </c>
      <c r="F978" s="29" t="s">
        <v>250</v>
      </c>
      <c r="G978" s="29" t="s">
        <v>251</v>
      </c>
      <c r="H978" s="32">
        <v>10</v>
      </c>
      <c r="I978" s="32">
        <v>2628.56</v>
      </c>
      <c r="J978" s="32">
        <v>26285.599999999999</v>
      </c>
      <c r="K978" s="29"/>
      <c r="M978" s="29"/>
      <c r="N978" s="29"/>
      <c r="P978" s="29"/>
      <c r="Q978" s="29"/>
      <c r="S978" s="29"/>
      <c r="T978" s="29"/>
      <c r="V978" s="29"/>
      <c r="X978" s="29"/>
      <c r="Y978" s="29"/>
      <c r="Z978" s="29"/>
    </row>
    <row r="979" spans="1:26" ht="15" thickBot="1">
      <c r="A979" s="32" t="s">
        <v>469</v>
      </c>
      <c r="B979" s="29" t="s">
        <v>240</v>
      </c>
      <c r="C979" s="29" t="s">
        <v>244</v>
      </c>
      <c r="D979" s="29" t="s">
        <v>237</v>
      </c>
      <c r="E979" s="29" t="s">
        <v>8</v>
      </c>
      <c r="F979" s="29" t="s">
        <v>259</v>
      </c>
      <c r="G979" s="29" t="s">
        <v>179</v>
      </c>
      <c r="H979" s="32">
        <v>16</v>
      </c>
      <c r="I979" s="32">
        <v>284.02</v>
      </c>
      <c r="J979" s="32">
        <v>4544.32</v>
      </c>
      <c r="K979" s="29"/>
      <c r="M979" s="29"/>
      <c r="N979" s="29"/>
      <c r="P979" s="29"/>
      <c r="Q979" s="29"/>
      <c r="S979" s="29"/>
      <c r="T979" s="29"/>
      <c r="V979" s="29"/>
      <c r="X979" s="29"/>
      <c r="Y979" s="29"/>
      <c r="Z979" s="29"/>
    </row>
    <row r="980" spans="1:26" ht="15" thickBot="1">
      <c r="A980" s="32" t="s">
        <v>290</v>
      </c>
      <c r="B980" s="29" t="s">
        <v>260</v>
      </c>
      <c r="C980" s="29" t="s">
        <v>241</v>
      </c>
      <c r="D980" s="29" t="s">
        <v>242</v>
      </c>
      <c r="E980" s="29" t="s">
        <v>8</v>
      </c>
      <c r="F980" s="29" t="s">
        <v>250</v>
      </c>
      <c r="G980" s="29" t="s">
        <v>277</v>
      </c>
      <c r="H980" s="32">
        <v>8</v>
      </c>
      <c r="I980" s="32">
        <v>1011.67</v>
      </c>
      <c r="J980" s="32">
        <v>8093.36</v>
      </c>
      <c r="K980" s="29"/>
      <c r="M980" s="29"/>
      <c r="N980" s="29"/>
      <c r="P980" s="29"/>
      <c r="Q980" s="29"/>
      <c r="S980" s="29"/>
      <c r="T980" s="29"/>
      <c r="V980" s="29"/>
      <c r="X980" s="29"/>
      <c r="Y980" s="29"/>
      <c r="Z980" s="29"/>
    </row>
    <row r="981" spans="1:26" ht="15" thickBot="1">
      <c r="A981" s="49">
        <v>45141</v>
      </c>
      <c r="B981" s="29" t="s">
        <v>268</v>
      </c>
      <c r="C981" s="29" t="s">
        <v>281</v>
      </c>
      <c r="D981" s="29" t="s">
        <v>252</v>
      </c>
      <c r="E981" s="29" t="s">
        <v>5</v>
      </c>
      <c r="F981" s="29" t="s">
        <v>250</v>
      </c>
      <c r="G981" s="29" t="s">
        <v>284</v>
      </c>
      <c r="H981" s="32">
        <v>6</v>
      </c>
      <c r="I981" s="32">
        <v>3918.07</v>
      </c>
      <c r="J981" s="32">
        <v>23508.42</v>
      </c>
      <c r="K981" s="29"/>
      <c r="M981" s="29"/>
      <c r="N981" s="29"/>
      <c r="P981" s="29"/>
      <c r="Q981" s="29"/>
      <c r="S981" s="29"/>
      <c r="T981" s="29"/>
      <c r="V981" s="29"/>
      <c r="X981" s="29"/>
      <c r="Y981" s="29"/>
      <c r="Z981" s="29"/>
    </row>
    <row r="982" spans="1:26" ht="15" thickBot="1">
      <c r="A982" s="32" t="s">
        <v>488</v>
      </c>
      <c r="B982" s="29" t="s">
        <v>260</v>
      </c>
      <c r="C982" s="29" t="s">
        <v>258</v>
      </c>
      <c r="D982" s="29" t="s">
        <v>242</v>
      </c>
      <c r="E982" s="29" t="s">
        <v>8</v>
      </c>
      <c r="F982" s="29" t="s">
        <v>245</v>
      </c>
      <c r="G982" s="29" t="s">
        <v>269</v>
      </c>
      <c r="H982" s="32">
        <v>2</v>
      </c>
      <c r="I982" s="32">
        <v>3313.63</v>
      </c>
      <c r="J982" s="32">
        <v>6627.26</v>
      </c>
      <c r="K982" s="29"/>
      <c r="M982" s="29"/>
      <c r="N982" s="29"/>
      <c r="P982" s="29"/>
      <c r="Q982" s="29"/>
      <c r="S982" s="29"/>
      <c r="T982" s="29"/>
      <c r="V982" s="29"/>
      <c r="X982" s="29"/>
      <c r="Y982" s="29"/>
      <c r="Z982" s="29"/>
    </row>
    <row r="983" spans="1:26" ht="15" thickBot="1">
      <c r="A983" s="32" t="s">
        <v>452</v>
      </c>
      <c r="B983" s="29" t="s">
        <v>271</v>
      </c>
      <c r="C983" s="29" t="s">
        <v>236</v>
      </c>
      <c r="D983" s="29" t="s">
        <v>237</v>
      </c>
      <c r="E983" s="29" t="s">
        <v>8</v>
      </c>
      <c r="F983" s="29" t="s">
        <v>245</v>
      </c>
      <c r="G983" s="29" t="s">
        <v>266</v>
      </c>
      <c r="H983" s="32">
        <v>18</v>
      </c>
      <c r="I983" s="32">
        <v>809.24</v>
      </c>
      <c r="J983" s="32">
        <v>14566.32</v>
      </c>
      <c r="K983" s="29"/>
      <c r="M983" s="29"/>
      <c r="N983" s="29"/>
      <c r="P983" s="29"/>
      <c r="Q983" s="29"/>
      <c r="S983" s="29"/>
      <c r="T983" s="29"/>
      <c r="V983" s="29"/>
      <c r="X983" s="29"/>
      <c r="Y983" s="29"/>
      <c r="Z983" s="29"/>
    </row>
    <row r="984" spans="1:26" ht="15" thickBot="1">
      <c r="A984" s="32" t="s">
        <v>440</v>
      </c>
      <c r="B984" s="29" t="s">
        <v>240</v>
      </c>
      <c r="C984" s="29" t="s">
        <v>273</v>
      </c>
      <c r="D984" s="29" t="s">
        <v>252</v>
      </c>
      <c r="E984" s="29" t="s">
        <v>5</v>
      </c>
      <c r="F984" s="29" t="s">
        <v>250</v>
      </c>
      <c r="G984" s="29" t="s">
        <v>293</v>
      </c>
      <c r="H984" s="32">
        <v>2</v>
      </c>
      <c r="I984" s="32">
        <v>2338.61</v>
      </c>
      <c r="J984" s="32">
        <v>4677.22</v>
      </c>
      <c r="K984" s="29"/>
      <c r="M984" s="29"/>
      <c r="N984" s="29"/>
      <c r="P984" s="29"/>
      <c r="Q984" s="29"/>
      <c r="S984" s="29"/>
      <c r="T984" s="29"/>
      <c r="V984" s="29"/>
      <c r="X984" s="29"/>
      <c r="Y984" s="29"/>
      <c r="Z984" s="29"/>
    </row>
    <row r="985" spans="1:26" ht="15" thickBot="1">
      <c r="A985" s="32" t="s">
        <v>493</v>
      </c>
      <c r="B985" s="29" t="s">
        <v>280</v>
      </c>
      <c r="C985" s="29" t="s">
        <v>283</v>
      </c>
      <c r="D985" s="29" t="s">
        <v>242</v>
      </c>
      <c r="E985" s="29" t="s">
        <v>8</v>
      </c>
      <c r="F985" s="29" t="s">
        <v>250</v>
      </c>
      <c r="G985" s="29" t="s">
        <v>293</v>
      </c>
      <c r="H985" s="32">
        <v>18</v>
      </c>
      <c r="I985" s="32">
        <v>2773.93</v>
      </c>
      <c r="J985" s="32">
        <v>49930.74</v>
      </c>
      <c r="K985" s="29"/>
      <c r="M985" s="29"/>
      <c r="N985" s="29"/>
      <c r="P985" s="29"/>
      <c r="Q985" s="29"/>
      <c r="S985" s="29"/>
      <c r="T985" s="29"/>
      <c r="V985" s="29"/>
      <c r="X985" s="29"/>
      <c r="Y985" s="29"/>
      <c r="Z985" s="29"/>
    </row>
    <row r="986" spans="1:26" ht="15" thickBot="1">
      <c r="A986" s="49">
        <v>45172</v>
      </c>
      <c r="B986" s="29" t="s">
        <v>248</v>
      </c>
      <c r="C986" s="29" t="s">
        <v>274</v>
      </c>
      <c r="D986" s="29" t="s">
        <v>232</v>
      </c>
      <c r="E986" s="29" t="s">
        <v>6</v>
      </c>
      <c r="F986" s="29" t="s">
        <v>250</v>
      </c>
      <c r="G986" s="29" t="s">
        <v>284</v>
      </c>
      <c r="H986" s="32">
        <v>15</v>
      </c>
      <c r="I986" s="32">
        <v>2540.06</v>
      </c>
      <c r="J986" s="32">
        <v>38100.9</v>
      </c>
      <c r="K986" s="29"/>
      <c r="M986" s="29"/>
      <c r="N986" s="29"/>
      <c r="P986" s="29"/>
      <c r="Q986" s="29"/>
      <c r="S986" s="29"/>
      <c r="T986" s="29"/>
      <c r="V986" s="29"/>
      <c r="X986" s="29"/>
      <c r="Y986" s="29"/>
      <c r="Z986" s="29"/>
    </row>
    <row r="987" spans="1:26" ht="15" thickBot="1">
      <c r="A987" s="32" t="s">
        <v>318</v>
      </c>
      <c r="B987" s="29" t="s">
        <v>230</v>
      </c>
      <c r="C987" s="29" t="s">
        <v>281</v>
      </c>
      <c r="D987" s="29" t="s">
        <v>252</v>
      </c>
      <c r="E987" s="29" t="s">
        <v>5</v>
      </c>
      <c r="F987" s="29" t="s">
        <v>245</v>
      </c>
      <c r="G987" s="29" t="s">
        <v>246</v>
      </c>
      <c r="H987" s="32">
        <v>4</v>
      </c>
      <c r="I987" s="32">
        <v>1178.71</v>
      </c>
      <c r="J987" s="32">
        <v>4714.84</v>
      </c>
      <c r="K987" s="29"/>
      <c r="M987" s="29"/>
      <c r="N987" s="29"/>
      <c r="P987" s="29"/>
      <c r="Q987" s="29"/>
      <c r="S987" s="29"/>
      <c r="T987" s="29"/>
      <c r="V987" s="29"/>
      <c r="X987" s="29"/>
      <c r="Y987" s="29"/>
      <c r="Z987" s="29"/>
    </row>
    <row r="988" spans="1:26" ht="15" thickBot="1">
      <c r="A988" s="32" t="s">
        <v>462</v>
      </c>
      <c r="B988" s="29" t="s">
        <v>268</v>
      </c>
      <c r="C988" s="29" t="s">
        <v>236</v>
      </c>
      <c r="D988" s="29" t="s">
        <v>237</v>
      </c>
      <c r="E988" s="29" t="s">
        <v>8</v>
      </c>
      <c r="F988" s="29" t="s">
        <v>250</v>
      </c>
      <c r="G988" s="29" t="s">
        <v>251</v>
      </c>
      <c r="H988" s="32">
        <v>4</v>
      </c>
      <c r="I988" s="32">
        <v>4724.33</v>
      </c>
      <c r="J988" s="32">
        <v>18897.32</v>
      </c>
      <c r="K988" s="29"/>
      <c r="M988" s="29"/>
      <c r="N988" s="29"/>
      <c r="P988" s="29"/>
      <c r="Q988" s="29"/>
      <c r="S988" s="29"/>
      <c r="T988" s="29"/>
      <c r="V988" s="29"/>
      <c r="X988" s="29"/>
      <c r="Y988" s="29"/>
      <c r="Z988" s="29"/>
    </row>
    <row r="989" spans="1:26" ht="15" thickBot="1">
      <c r="A989" s="32" t="s">
        <v>479</v>
      </c>
      <c r="B989" s="29" t="s">
        <v>268</v>
      </c>
      <c r="C989" s="29" t="s">
        <v>313</v>
      </c>
      <c r="D989" s="29" t="s">
        <v>252</v>
      </c>
      <c r="E989" s="29" t="s">
        <v>5</v>
      </c>
      <c r="F989" s="29" t="s">
        <v>259</v>
      </c>
      <c r="G989" s="29" t="s">
        <v>298</v>
      </c>
      <c r="H989" s="32">
        <v>7</v>
      </c>
      <c r="I989" s="32">
        <v>3481</v>
      </c>
      <c r="J989" s="32">
        <v>24367</v>
      </c>
      <c r="K989" s="29"/>
      <c r="M989" s="29"/>
      <c r="N989" s="29"/>
      <c r="P989" s="29"/>
      <c r="Q989" s="29"/>
      <c r="S989" s="29"/>
      <c r="T989" s="29"/>
      <c r="V989" s="29"/>
      <c r="X989" s="29"/>
      <c r="Y989" s="29"/>
      <c r="Z989" s="29"/>
    </row>
    <row r="990" spans="1:26" ht="15" thickBot="1">
      <c r="A990" s="32" t="s">
        <v>427</v>
      </c>
      <c r="B990" s="29" t="s">
        <v>280</v>
      </c>
      <c r="C990" s="29" t="s">
        <v>261</v>
      </c>
      <c r="D990" s="29" t="s">
        <v>247</v>
      </c>
      <c r="E990" s="29" t="s">
        <v>6</v>
      </c>
      <c r="F990" s="29" t="s">
        <v>233</v>
      </c>
      <c r="G990" s="29" t="s">
        <v>234</v>
      </c>
      <c r="H990" s="32">
        <v>16</v>
      </c>
      <c r="I990" s="32">
        <v>4608.55</v>
      </c>
      <c r="J990" s="32">
        <v>73736.800000000003</v>
      </c>
      <c r="K990" s="29"/>
      <c r="M990" s="29"/>
      <c r="N990" s="29"/>
      <c r="P990" s="29"/>
      <c r="Q990" s="29"/>
      <c r="S990" s="29"/>
      <c r="T990" s="29"/>
      <c r="V990" s="29"/>
      <c r="X990" s="29"/>
      <c r="Y990" s="29"/>
      <c r="Z990" s="29"/>
    </row>
    <row r="991" spans="1:26" ht="15" thickBot="1">
      <c r="A991" s="32" t="s">
        <v>362</v>
      </c>
      <c r="B991" s="29" t="s">
        <v>271</v>
      </c>
      <c r="C991" s="29" t="s">
        <v>274</v>
      </c>
      <c r="D991" s="29" t="s">
        <v>232</v>
      </c>
      <c r="E991" s="29" t="s">
        <v>6</v>
      </c>
      <c r="F991" s="29" t="s">
        <v>259</v>
      </c>
      <c r="G991" s="29" t="s">
        <v>299</v>
      </c>
      <c r="H991" s="32">
        <v>10</v>
      </c>
      <c r="I991" s="32">
        <v>2336.88</v>
      </c>
      <c r="J991" s="32">
        <v>23368.799999999999</v>
      </c>
      <c r="K991" s="29"/>
      <c r="M991" s="29"/>
      <c r="N991" s="29"/>
      <c r="P991" s="29"/>
      <c r="Q991" s="29"/>
      <c r="S991" s="29"/>
      <c r="T991" s="29"/>
      <c r="V991" s="29"/>
      <c r="X991" s="29"/>
      <c r="Y991" s="29"/>
      <c r="Z991" s="29"/>
    </row>
    <row r="992" spans="1:26" ht="15" thickBot="1">
      <c r="A992" s="32" t="s">
        <v>314</v>
      </c>
      <c r="B992" s="29" t="s">
        <v>230</v>
      </c>
      <c r="C992" s="29" t="s">
        <v>255</v>
      </c>
      <c r="D992" s="29" t="s">
        <v>237</v>
      </c>
      <c r="E992" s="29" t="s">
        <v>8</v>
      </c>
      <c r="F992" s="29" t="s">
        <v>238</v>
      </c>
      <c r="G992" s="29" t="s">
        <v>303</v>
      </c>
      <c r="H992" s="32">
        <v>1</v>
      </c>
      <c r="I992" s="32">
        <v>2993.55</v>
      </c>
      <c r="J992" s="32">
        <v>2993.55</v>
      </c>
      <c r="K992" s="29"/>
      <c r="M992" s="29"/>
      <c r="N992" s="29"/>
      <c r="P992" s="29"/>
      <c r="Q992" s="29"/>
      <c r="S992" s="29"/>
      <c r="T992" s="29"/>
      <c r="V992" s="29"/>
      <c r="X992" s="29"/>
      <c r="Y992" s="29"/>
      <c r="Z992" s="29"/>
    </row>
    <row r="993" spans="1:26" ht="15" thickBot="1">
      <c r="A993" s="32" t="s">
        <v>412</v>
      </c>
      <c r="B993" s="29" t="s">
        <v>260</v>
      </c>
      <c r="C993" s="29" t="s">
        <v>244</v>
      </c>
      <c r="D993" s="29" t="s">
        <v>237</v>
      </c>
      <c r="E993" s="29" t="s">
        <v>8</v>
      </c>
      <c r="F993" s="29" t="s">
        <v>245</v>
      </c>
      <c r="G993" s="29" t="s">
        <v>269</v>
      </c>
      <c r="H993" s="32">
        <v>19</v>
      </c>
      <c r="I993" s="32">
        <v>4080.77</v>
      </c>
      <c r="J993" s="32">
        <v>77534.63</v>
      </c>
      <c r="K993" s="29"/>
      <c r="M993" s="29"/>
      <c r="N993" s="29"/>
      <c r="P993" s="29"/>
      <c r="Q993" s="29"/>
      <c r="S993" s="29"/>
      <c r="T993" s="29"/>
      <c r="V993" s="29"/>
      <c r="X993" s="29"/>
      <c r="Y993" s="29"/>
      <c r="Z993" s="29"/>
    </row>
    <row r="994" spans="1:26" ht="15" thickBot="1">
      <c r="A994" s="32" t="s">
        <v>475</v>
      </c>
      <c r="B994" s="29" t="s">
        <v>235</v>
      </c>
      <c r="C994" s="29" t="s">
        <v>283</v>
      </c>
      <c r="D994" s="29" t="s">
        <v>242</v>
      </c>
      <c r="E994" s="29" t="s">
        <v>8</v>
      </c>
      <c r="F994" s="29" t="s">
        <v>245</v>
      </c>
      <c r="G994" s="29" t="s">
        <v>295</v>
      </c>
      <c r="H994" s="32">
        <v>4</v>
      </c>
      <c r="I994" s="32">
        <v>3659.61</v>
      </c>
      <c r="J994" s="32">
        <v>14638.44</v>
      </c>
      <c r="K994" s="29"/>
      <c r="M994" s="29"/>
      <c r="N994" s="29"/>
      <c r="P994" s="29"/>
      <c r="Q994" s="29"/>
      <c r="S994" s="29"/>
      <c r="T994" s="29"/>
      <c r="V994" s="29"/>
      <c r="X994" s="29"/>
      <c r="Y994" s="29"/>
      <c r="Z994" s="29"/>
    </row>
    <row r="995" spans="1:26" ht="15" thickBot="1">
      <c r="A995" s="49">
        <v>45109</v>
      </c>
      <c r="B995" s="29" t="s">
        <v>254</v>
      </c>
      <c r="C995" s="29" t="s">
        <v>313</v>
      </c>
      <c r="D995" s="29" t="s">
        <v>252</v>
      </c>
      <c r="E995" s="29" t="s">
        <v>5</v>
      </c>
      <c r="F995" s="29" t="s">
        <v>245</v>
      </c>
      <c r="G995" s="29" t="s">
        <v>295</v>
      </c>
      <c r="H995" s="32">
        <v>12</v>
      </c>
      <c r="I995" s="32">
        <v>1819.46</v>
      </c>
      <c r="J995" s="32">
        <v>21833.52</v>
      </c>
      <c r="K995" s="29"/>
      <c r="M995" s="29"/>
      <c r="N995" s="29"/>
      <c r="P995" s="29"/>
      <c r="Q995" s="29"/>
      <c r="S995" s="29"/>
      <c r="T995" s="29"/>
      <c r="V995" s="29"/>
      <c r="X995" s="29"/>
      <c r="Y995" s="29"/>
      <c r="Z995" s="29"/>
    </row>
    <row r="996" spans="1:26" ht="15" thickBot="1">
      <c r="A996" s="32" t="s">
        <v>451</v>
      </c>
      <c r="B996" s="29" t="s">
        <v>248</v>
      </c>
      <c r="C996" s="29" t="s">
        <v>255</v>
      </c>
      <c r="D996" s="29" t="s">
        <v>237</v>
      </c>
      <c r="E996" s="29" t="s">
        <v>8</v>
      </c>
      <c r="F996" s="29" t="s">
        <v>259</v>
      </c>
      <c r="G996" s="29" t="s">
        <v>298</v>
      </c>
      <c r="H996" s="32">
        <v>13</v>
      </c>
      <c r="I996" s="32">
        <v>3520.87</v>
      </c>
      <c r="J996" s="32">
        <v>45771.31</v>
      </c>
      <c r="K996" s="29"/>
      <c r="M996" s="29"/>
      <c r="N996" s="29"/>
      <c r="P996" s="29"/>
      <c r="Q996" s="29"/>
      <c r="S996" s="29"/>
      <c r="T996" s="29"/>
      <c r="V996" s="29"/>
      <c r="X996" s="29"/>
      <c r="Y996" s="29"/>
      <c r="Z996" s="29"/>
    </row>
    <row r="997" spans="1:26" ht="15" thickBot="1">
      <c r="A997" s="32" t="s">
        <v>417</v>
      </c>
      <c r="B997" s="29" t="s">
        <v>260</v>
      </c>
      <c r="C997" s="29" t="s">
        <v>236</v>
      </c>
      <c r="D997" s="29" t="s">
        <v>237</v>
      </c>
      <c r="E997" s="29" t="s">
        <v>8</v>
      </c>
      <c r="F997" s="29" t="s">
        <v>250</v>
      </c>
      <c r="G997" s="29" t="s">
        <v>293</v>
      </c>
      <c r="H997" s="32">
        <v>14</v>
      </c>
      <c r="I997" s="32">
        <v>4532.88</v>
      </c>
      <c r="J997" s="32">
        <v>63460.32</v>
      </c>
      <c r="K997" s="29"/>
      <c r="M997" s="29"/>
      <c r="N997" s="29"/>
      <c r="P997" s="29"/>
      <c r="Q997" s="29"/>
      <c r="S997" s="29"/>
      <c r="T997" s="29"/>
      <c r="V997" s="29"/>
      <c r="X997" s="29"/>
      <c r="Y997" s="29"/>
      <c r="Z997" s="29"/>
    </row>
    <row r="998" spans="1:26" ht="15" thickBot="1">
      <c r="A998" s="32" t="s">
        <v>267</v>
      </c>
      <c r="B998" s="29" t="s">
        <v>254</v>
      </c>
      <c r="C998" s="29" t="s">
        <v>231</v>
      </c>
      <c r="D998" s="29" t="s">
        <v>232</v>
      </c>
      <c r="E998" s="29" t="s">
        <v>6</v>
      </c>
      <c r="F998" s="29" t="s">
        <v>233</v>
      </c>
      <c r="G998" s="29" t="s">
        <v>287</v>
      </c>
      <c r="H998" s="32">
        <v>6</v>
      </c>
      <c r="I998" s="32">
        <v>1709.52</v>
      </c>
      <c r="J998" s="32">
        <v>10257.120000000001</v>
      </c>
      <c r="K998" s="29"/>
      <c r="M998" s="29"/>
      <c r="N998" s="29"/>
      <c r="P998" s="29"/>
      <c r="Q998" s="29"/>
      <c r="S998" s="29"/>
      <c r="T998" s="29"/>
      <c r="V998" s="29"/>
      <c r="X998" s="29"/>
      <c r="Y998" s="29"/>
      <c r="Z998" s="29"/>
    </row>
    <row r="999" spans="1:26" ht="15" thickBot="1">
      <c r="A999" s="32" t="s">
        <v>331</v>
      </c>
      <c r="B999" s="29" t="s">
        <v>280</v>
      </c>
      <c r="C999" s="29" t="s">
        <v>241</v>
      </c>
      <c r="D999" s="29" t="s">
        <v>242</v>
      </c>
      <c r="E999" s="29" t="s">
        <v>8</v>
      </c>
      <c r="F999" s="29" t="s">
        <v>245</v>
      </c>
      <c r="G999" s="29" t="s">
        <v>246</v>
      </c>
      <c r="H999" s="32">
        <v>10</v>
      </c>
      <c r="I999" s="32">
        <v>3803.22</v>
      </c>
      <c r="J999" s="32">
        <v>38032.199999999997</v>
      </c>
      <c r="K999" s="29"/>
      <c r="M999" s="29"/>
      <c r="N999" s="29"/>
      <c r="P999" s="29"/>
      <c r="Q999" s="29"/>
      <c r="S999" s="29"/>
      <c r="T999" s="29"/>
      <c r="V999" s="29"/>
      <c r="X999" s="29"/>
      <c r="Y999" s="29"/>
      <c r="Z999" s="29"/>
    </row>
    <row r="1000" spans="1:26" ht="15" thickBot="1">
      <c r="A1000" s="49">
        <v>44958</v>
      </c>
      <c r="B1000" s="29" t="s">
        <v>271</v>
      </c>
      <c r="C1000" s="29" t="s">
        <v>241</v>
      </c>
      <c r="D1000" s="29" t="s">
        <v>242</v>
      </c>
      <c r="E1000" s="29" t="s">
        <v>8</v>
      </c>
      <c r="F1000" s="29" t="s">
        <v>238</v>
      </c>
      <c r="G1000" s="29" t="s">
        <v>303</v>
      </c>
      <c r="H1000" s="32">
        <v>15</v>
      </c>
      <c r="I1000" s="32">
        <v>1853</v>
      </c>
      <c r="J1000" s="32">
        <v>27795</v>
      </c>
      <c r="K1000" s="29"/>
      <c r="M1000" s="29"/>
      <c r="N1000" s="29"/>
      <c r="P1000" s="29"/>
      <c r="Q1000" s="29"/>
      <c r="S1000" s="29"/>
      <c r="T1000" s="29"/>
      <c r="V1000" s="29"/>
      <c r="X1000" s="29"/>
      <c r="Y1000" s="29"/>
      <c r="Z1000" s="29"/>
    </row>
    <row r="1001" spans="1:26" ht="15" thickBot="1">
      <c r="A1001" s="49">
        <v>45018</v>
      </c>
      <c r="B1001" s="29" t="s">
        <v>280</v>
      </c>
      <c r="C1001" s="29" t="s">
        <v>249</v>
      </c>
      <c r="D1001" s="29" t="s">
        <v>232</v>
      </c>
      <c r="E1001" s="29" t="s">
        <v>6</v>
      </c>
      <c r="F1001" s="29" t="s">
        <v>245</v>
      </c>
      <c r="G1001" s="29" t="s">
        <v>266</v>
      </c>
      <c r="H1001" s="32">
        <v>2</v>
      </c>
      <c r="I1001" s="32">
        <v>2623.43</v>
      </c>
      <c r="J1001" s="32">
        <v>5246.86</v>
      </c>
      <c r="K1001" s="29"/>
      <c r="M1001" s="29"/>
      <c r="N1001" s="29"/>
      <c r="P1001" s="29"/>
      <c r="Q1001" s="29"/>
      <c r="S1001" s="29"/>
      <c r="T1001" s="29"/>
      <c r="V1001" s="29"/>
      <c r="X1001" s="29"/>
      <c r="Y1001" s="29"/>
      <c r="Z1001" s="29"/>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5E1F55-2902-4802-8E8B-9C619BDE3C8E}">
  <sheetPr codeName="Sheet8"/>
  <dimension ref="A1:P54"/>
  <sheetViews>
    <sheetView zoomScale="85" zoomScaleNormal="85" workbookViewId="0">
      <pane ySplit="1" topLeftCell="A54" activePane="bottomLeft" state="frozen"/>
      <selection pane="bottomLeft" activeCell="B59" sqref="B59:B60"/>
    </sheetView>
  </sheetViews>
  <sheetFormatPr defaultRowHeight="14.4"/>
  <cols>
    <col min="1" max="1" width="10.33203125" bestFit="1" customWidth="1"/>
    <col min="2" max="2" width="27.6640625" customWidth="1"/>
    <col min="3" max="5" width="10.33203125" bestFit="1" customWidth="1"/>
    <col min="6" max="6" width="14.44140625" customWidth="1"/>
    <col min="7" max="7" width="10.33203125" bestFit="1" customWidth="1"/>
    <col min="10" max="10" width="8.33203125" bestFit="1" customWidth="1"/>
    <col min="11" max="11" width="8.5546875" bestFit="1" customWidth="1"/>
    <col min="12" max="12" width="10.33203125" bestFit="1" customWidth="1"/>
    <col min="13" max="13" width="21.6640625" bestFit="1" customWidth="1"/>
    <col min="14" max="14" width="8.6640625" bestFit="1" customWidth="1"/>
  </cols>
  <sheetData>
    <row r="1" spans="1:16" ht="29.4" thickBot="1">
      <c r="A1" s="51" t="s">
        <v>496</v>
      </c>
      <c r="B1" s="52" t="s">
        <v>497</v>
      </c>
      <c r="C1" s="53"/>
      <c r="D1" s="52" t="s">
        <v>498</v>
      </c>
      <c r="E1" s="54"/>
      <c r="F1" s="52" t="s">
        <v>499</v>
      </c>
      <c r="G1" s="30"/>
      <c r="J1" s="51" t="s">
        <v>37</v>
      </c>
      <c r="K1" s="52" t="s">
        <v>513</v>
      </c>
      <c r="L1" s="52" t="s">
        <v>514</v>
      </c>
      <c r="M1" s="52" t="s">
        <v>515</v>
      </c>
      <c r="N1" s="57" t="s">
        <v>516</v>
      </c>
      <c r="O1" s="30"/>
      <c r="P1" s="30"/>
    </row>
    <row r="2" spans="1:16" ht="58.2" thickBot="1">
      <c r="A2" s="30" t="s">
        <v>500</v>
      </c>
      <c r="B2" s="55">
        <v>45292</v>
      </c>
      <c r="C2" s="56">
        <v>45292</v>
      </c>
      <c r="D2" s="55">
        <v>45382</v>
      </c>
      <c r="E2" s="31" t="s">
        <v>501</v>
      </c>
      <c r="F2" s="31">
        <v>90</v>
      </c>
      <c r="G2" s="55">
        <f>DATE(YEAR(C2),MONTH(C2),DAY(C2))</f>
        <v>45292</v>
      </c>
      <c r="J2" s="31">
        <v>101</v>
      </c>
      <c r="K2" s="30" t="s">
        <v>517</v>
      </c>
      <c r="L2" s="55">
        <v>43845</v>
      </c>
      <c r="M2" s="55">
        <v>33066</v>
      </c>
      <c r="N2" s="30" t="s">
        <v>518</v>
      </c>
      <c r="O2" s="30"/>
      <c r="P2" s="30" t="str">
        <f ca="1">DATEDIF(M2,TODAY(),"Y")&amp;" Years " &amp; DATEDIF(M2,TODAY(),"YM")&amp;" Months " &amp; DATEDIF(M2,TODAY(),"MD")&amp;" Days"</f>
        <v>35 Years 11 Months 11 Days</v>
      </c>
    </row>
    <row r="3" spans="1:16" ht="43.8" thickBot="1">
      <c r="A3" s="30" t="s">
        <v>502</v>
      </c>
      <c r="B3" s="55">
        <v>45337</v>
      </c>
      <c r="C3" s="56">
        <v>45337</v>
      </c>
      <c r="D3" s="55">
        <v>45442</v>
      </c>
      <c r="E3" s="31" t="s">
        <v>503</v>
      </c>
      <c r="F3" s="30">
        <f>_xlfn.DAYS(D3,B3)</f>
        <v>105</v>
      </c>
      <c r="G3" s="55">
        <f t="shared" ref="G3:G6" si="0">DATE(YEAR(C3),MONTH(C3),DAY(C3))</f>
        <v>45337</v>
      </c>
      <c r="J3" s="31">
        <v>102</v>
      </c>
      <c r="K3" s="30" t="s">
        <v>519</v>
      </c>
      <c r="L3" s="55">
        <v>43617</v>
      </c>
      <c r="M3" s="55">
        <v>31374</v>
      </c>
      <c r="N3" s="30" t="s">
        <v>520</v>
      </c>
      <c r="O3" s="30"/>
      <c r="P3" s="30" t="str">
        <f t="shared" ref="P3:P6" ca="1" si="1">DATEDIF(M3,TODAY(),"Y")&amp;" Years " &amp; DATEDIF(M3,TODAY(),"YM")&amp;" Months " &amp; DATEDIF(M3,TODAY(),"MD")&amp;" Days"</f>
        <v>40 Years 7 Months 0 Days</v>
      </c>
    </row>
    <row r="4" spans="1:16" ht="43.8" thickBot="1">
      <c r="A4" s="30" t="s">
        <v>504</v>
      </c>
      <c r="B4" s="55">
        <v>45352</v>
      </c>
      <c r="C4" s="56">
        <v>45294</v>
      </c>
      <c r="D4" s="55">
        <v>45458</v>
      </c>
      <c r="E4" s="31" t="s">
        <v>505</v>
      </c>
      <c r="F4" s="30"/>
      <c r="G4" s="55">
        <f t="shared" si="0"/>
        <v>45294</v>
      </c>
      <c r="J4" s="31">
        <v>103</v>
      </c>
      <c r="K4" s="30" t="s">
        <v>521</v>
      </c>
      <c r="L4" s="55">
        <v>44459</v>
      </c>
      <c r="M4" s="55">
        <v>33738</v>
      </c>
      <c r="N4" s="30" t="s">
        <v>522</v>
      </c>
      <c r="O4" s="30"/>
      <c r="P4" s="30" t="str">
        <f t="shared" ca="1" si="1"/>
        <v>34 Years 1 Months 9 Days</v>
      </c>
    </row>
    <row r="5" spans="1:16" ht="43.8" thickBot="1">
      <c r="A5" s="30" t="s">
        <v>506</v>
      </c>
      <c r="B5" s="55">
        <v>45392</v>
      </c>
      <c r="C5" s="56">
        <v>45569</v>
      </c>
      <c r="D5" s="55">
        <v>45498</v>
      </c>
      <c r="E5" s="31" t="s">
        <v>507</v>
      </c>
      <c r="F5" s="30"/>
      <c r="G5" s="55">
        <f t="shared" si="0"/>
        <v>45569</v>
      </c>
      <c r="J5" s="31">
        <v>104</v>
      </c>
      <c r="K5" s="30" t="s">
        <v>523</v>
      </c>
      <c r="L5" s="55">
        <v>44140</v>
      </c>
      <c r="M5" s="55">
        <v>34972</v>
      </c>
      <c r="N5" s="30" t="s">
        <v>524</v>
      </c>
      <c r="O5" s="30"/>
      <c r="P5" s="30" t="str">
        <f t="shared" ca="1" si="1"/>
        <v>30 Years 8 Months 24 Days</v>
      </c>
    </row>
    <row r="6" spans="1:16" ht="43.8" thickBot="1">
      <c r="A6" s="30" t="s">
        <v>508</v>
      </c>
      <c r="B6" s="55">
        <v>45417</v>
      </c>
      <c r="C6" s="56">
        <v>45417</v>
      </c>
      <c r="D6" s="55">
        <v>45514</v>
      </c>
      <c r="E6" s="48">
        <v>45573</v>
      </c>
      <c r="F6" s="30"/>
      <c r="G6" s="55">
        <f t="shared" si="0"/>
        <v>45417</v>
      </c>
      <c r="J6" s="31">
        <v>105</v>
      </c>
      <c r="K6" s="30" t="s">
        <v>525</v>
      </c>
      <c r="L6" s="55">
        <v>43181</v>
      </c>
      <c r="M6" s="55">
        <v>32191</v>
      </c>
      <c r="N6" s="30" t="s">
        <v>526</v>
      </c>
      <c r="O6" s="30"/>
      <c r="P6" s="30" t="str">
        <f t="shared" ca="1" si="1"/>
        <v>38 Years 4 Months 5 Days</v>
      </c>
    </row>
    <row r="7" spans="1:16" ht="15" thickBot="1">
      <c r="A7" s="30"/>
      <c r="B7" s="30"/>
      <c r="C7" s="30"/>
      <c r="D7" s="30"/>
      <c r="E7" s="30"/>
      <c r="F7" s="30"/>
      <c r="G7" s="30"/>
      <c r="J7" s="30"/>
      <c r="K7" s="30"/>
      <c r="L7" s="30"/>
      <c r="M7" s="30"/>
      <c r="N7" s="30"/>
      <c r="O7" s="30"/>
      <c r="P7" s="30"/>
    </row>
    <row r="8" spans="1:16" ht="15" thickBot="1">
      <c r="A8" s="30"/>
      <c r="B8" s="30"/>
      <c r="C8" s="30"/>
      <c r="D8" s="30"/>
      <c r="E8" s="30"/>
      <c r="F8" s="30"/>
      <c r="G8" s="30"/>
      <c r="J8" s="30"/>
      <c r="K8" s="30"/>
      <c r="L8" s="30"/>
      <c r="M8" s="30"/>
      <c r="N8" s="30"/>
      <c r="O8" s="30"/>
      <c r="P8" s="30"/>
    </row>
    <row r="9" spans="1:16" ht="15" thickBot="1">
      <c r="A9" s="30"/>
      <c r="B9" s="55">
        <v>45292</v>
      </c>
      <c r="C9" s="31" t="s">
        <v>509</v>
      </c>
      <c r="D9" s="30"/>
      <c r="E9" s="30"/>
      <c r="F9" s="30"/>
      <c r="G9" s="30"/>
      <c r="J9" s="30"/>
      <c r="K9" s="30"/>
      <c r="L9" s="30"/>
      <c r="M9" s="30"/>
      <c r="N9" s="30"/>
      <c r="O9" s="30"/>
      <c r="P9" s="30"/>
    </row>
    <row r="10" spans="1:16" ht="15" thickBot="1">
      <c r="A10" s="30"/>
      <c r="B10" s="55">
        <v>45337</v>
      </c>
      <c r="C10" s="31" t="s">
        <v>510</v>
      </c>
      <c r="D10" s="30"/>
      <c r="E10" s="30"/>
      <c r="F10" s="30"/>
      <c r="G10" s="30"/>
      <c r="J10" s="30"/>
      <c r="K10" s="30"/>
      <c r="L10" s="30"/>
      <c r="M10" s="30"/>
      <c r="N10" s="30"/>
      <c r="O10" s="30"/>
      <c r="P10" s="30"/>
    </row>
    <row r="11" spans="1:16" ht="29.4" thickBot="1">
      <c r="A11" s="30"/>
      <c r="B11" s="55">
        <v>45352</v>
      </c>
      <c r="C11" s="31" t="s">
        <v>501</v>
      </c>
      <c r="D11" s="30"/>
      <c r="E11" s="30"/>
      <c r="F11" s="30"/>
      <c r="G11" s="30"/>
      <c r="J11" s="30"/>
      <c r="K11" s="30"/>
      <c r="L11" s="31" t="s">
        <v>527</v>
      </c>
      <c r="M11" s="58" t="s">
        <v>528</v>
      </c>
      <c r="N11" s="30"/>
      <c r="O11" s="30"/>
      <c r="P11" s="30"/>
    </row>
    <row r="12" spans="1:16" ht="15" thickBot="1">
      <c r="A12" s="30"/>
      <c r="B12" s="55">
        <v>45392</v>
      </c>
      <c r="C12" s="31" t="s">
        <v>511</v>
      </c>
      <c r="D12" s="30"/>
      <c r="E12" s="30"/>
      <c r="F12" s="30"/>
      <c r="G12" s="30"/>
      <c r="J12" s="30"/>
      <c r="K12" s="30"/>
      <c r="L12" s="30"/>
      <c r="M12" s="30"/>
      <c r="N12" s="30"/>
      <c r="O12" s="30"/>
      <c r="P12" s="30"/>
    </row>
    <row r="13" spans="1:16" ht="15" thickBot="1">
      <c r="A13" s="30"/>
      <c r="B13" s="55">
        <v>45417</v>
      </c>
      <c r="C13" s="31" t="s">
        <v>512</v>
      </c>
      <c r="D13" s="30"/>
      <c r="E13" s="30"/>
      <c r="F13" s="30"/>
      <c r="G13" s="30"/>
      <c r="L13" s="26">
        <v>38349</v>
      </c>
      <c r="M13" t="str">
        <f>TEXT(L13,"DDdd-MMMm-YYYY")</f>
        <v>Tuesday-December-2004</v>
      </c>
    </row>
    <row r="14" spans="1:16" ht="15" thickBot="1">
      <c r="A14" s="30"/>
      <c r="B14" s="30"/>
      <c r="C14" s="30"/>
      <c r="D14" s="30"/>
      <c r="E14" s="30"/>
      <c r="F14" s="30"/>
      <c r="G14" s="30"/>
    </row>
    <row r="15" spans="1:16" ht="15" thickBot="1">
      <c r="A15" s="30"/>
      <c r="B15" s="30"/>
      <c r="C15" s="30"/>
      <c r="D15" s="30"/>
      <c r="E15" s="30"/>
      <c r="F15" s="30"/>
      <c r="G15" s="30"/>
    </row>
    <row r="22" spans="1:5" ht="15" thickBot="1"/>
    <row r="23" spans="1:5" ht="15" thickBot="1">
      <c r="A23" s="59"/>
      <c r="B23" s="52" t="s">
        <v>529</v>
      </c>
      <c r="C23" s="30"/>
      <c r="D23" s="30"/>
      <c r="E23" s="30" t="s">
        <v>530</v>
      </c>
    </row>
    <row r="24" spans="1:5" ht="15" thickBot="1">
      <c r="A24" s="48">
        <v>45303</v>
      </c>
      <c r="B24" s="30"/>
      <c r="C24" s="30"/>
      <c r="D24" s="30"/>
      <c r="E24" s="48">
        <v>45455</v>
      </c>
    </row>
    <row r="25" spans="1:5" ht="29.4" thickBot="1">
      <c r="A25" s="48">
        <v>45334</v>
      </c>
      <c r="B25" s="60" t="e">
        <f>NETWORKDAYS.INTL(A24,A54,1,$E$24:$E$25)</f>
        <v>#VALUE!</v>
      </c>
      <c r="C25" s="30"/>
      <c r="D25" s="30"/>
      <c r="E25" s="31" t="s">
        <v>531</v>
      </c>
    </row>
    <row r="26" spans="1:5" ht="15" thickBot="1">
      <c r="A26" s="48">
        <v>45363</v>
      </c>
      <c r="B26" s="60"/>
      <c r="C26" s="30"/>
      <c r="D26" s="30"/>
      <c r="E26" s="30"/>
    </row>
    <row r="27" spans="1:5" ht="15" thickBot="1">
      <c r="A27" s="48">
        <v>45394</v>
      </c>
      <c r="B27" s="60"/>
      <c r="C27" s="30"/>
      <c r="D27" s="30"/>
      <c r="E27" s="30"/>
    </row>
    <row r="28" spans="1:5" ht="15" thickBot="1">
      <c r="A28" s="48">
        <v>45424</v>
      </c>
      <c r="B28" s="60"/>
      <c r="C28" s="30"/>
      <c r="D28" s="30"/>
      <c r="E28" s="30"/>
    </row>
    <row r="29" spans="1:5" ht="15" thickBot="1">
      <c r="A29" s="48">
        <v>45455</v>
      </c>
      <c r="B29" s="60"/>
      <c r="C29" s="30"/>
      <c r="D29" s="30"/>
      <c r="E29" s="30"/>
    </row>
    <row r="30" spans="1:5" ht="15" thickBot="1">
      <c r="A30" s="48">
        <v>45485</v>
      </c>
      <c r="B30" s="60"/>
      <c r="C30" s="30"/>
      <c r="D30" s="30"/>
      <c r="E30" s="30"/>
    </row>
    <row r="31" spans="1:5" ht="15" thickBot="1">
      <c r="A31" s="48">
        <v>45516</v>
      </c>
      <c r="B31" s="60"/>
      <c r="C31" s="30"/>
      <c r="D31" s="30"/>
      <c r="E31" s="30"/>
    </row>
    <row r="32" spans="1:5" ht="15" thickBot="1">
      <c r="A32" s="48">
        <v>45547</v>
      </c>
      <c r="B32" s="60"/>
      <c r="C32" s="30"/>
      <c r="D32" s="30"/>
      <c r="E32" s="30"/>
    </row>
    <row r="33" spans="1:5" ht="15" thickBot="1">
      <c r="A33" s="48">
        <v>45577</v>
      </c>
      <c r="B33" s="60"/>
      <c r="C33" s="30"/>
      <c r="D33" s="30"/>
      <c r="E33" s="30"/>
    </row>
    <row r="34" spans="1:5" ht="15" thickBot="1">
      <c r="A34" s="48">
        <v>45608</v>
      </c>
      <c r="B34" s="60"/>
      <c r="C34" s="30"/>
      <c r="D34" s="30"/>
      <c r="E34" s="30"/>
    </row>
    <row r="35" spans="1:5" ht="15" thickBot="1">
      <c r="A35" s="48">
        <v>45638</v>
      </c>
      <c r="B35" s="60"/>
      <c r="C35" s="30"/>
      <c r="D35" s="30"/>
      <c r="E35" s="30"/>
    </row>
    <row r="36" spans="1:5" ht="29.4" thickBot="1">
      <c r="A36" s="48" t="s">
        <v>532</v>
      </c>
      <c r="B36" s="60"/>
      <c r="C36" s="30"/>
      <c r="D36" s="30"/>
      <c r="E36" s="30"/>
    </row>
    <row r="37" spans="1:5" ht="29.4" thickBot="1">
      <c r="A37" s="48" t="s">
        <v>533</v>
      </c>
      <c r="B37" s="60"/>
      <c r="C37" s="30"/>
      <c r="D37" s="30"/>
      <c r="E37" s="30"/>
    </row>
    <row r="38" spans="1:5" ht="29.4" thickBot="1">
      <c r="A38" s="48" t="s">
        <v>534</v>
      </c>
      <c r="B38" s="60"/>
      <c r="C38" s="30"/>
      <c r="D38" s="30"/>
      <c r="E38" s="30"/>
    </row>
    <row r="39" spans="1:5" ht="29.4" thickBot="1">
      <c r="A39" s="48" t="s">
        <v>535</v>
      </c>
      <c r="B39" s="60"/>
      <c r="C39" s="30"/>
      <c r="D39" s="30"/>
      <c r="E39" s="30"/>
    </row>
    <row r="40" spans="1:5" ht="29.4" thickBot="1">
      <c r="A40" s="48" t="s">
        <v>536</v>
      </c>
      <c r="B40" s="60"/>
      <c r="C40" s="30"/>
      <c r="D40" s="30"/>
      <c r="E40" s="30"/>
    </row>
    <row r="41" spans="1:5" ht="29.4" thickBot="1">
      <c r="A41" s="48" t="s">
        <v>537</v>
      </c>
      <c r="B41" s="60"/>
      <c r="C41" s="30"/>
      <c r="D41" s="30"/>
      <c r="E41" s="30"/>
    </row>
    <row r="42" spans="1:5" ht="29.4" thickBot="1">
      <c r="A42" s="48" t="s">
        <v>538</v>
      </c>
      <c r="B42" s="60"/>
      <c r="C42" s="30"/>
      <c r="D42" s="30"/>
      <c r="E42" s="30"/>
    </row>
    <row r="43" spans="1:5" ht="29.4" thickBot="1">
      <c r="A43" s="48" t="s">
        <v>539</v>
      </c>
      <c r="B43" s="60"/>
      <c r="C43" s="30"/>
      <c r="D43" s="30"/>
      <c r="E43" s="30"/>
    </row>
    <row r="44" spans="1:5" ht="29.4" thickBot="1">
      <c r="A44" s="48" t="s">
        <v>540</v>
      </c>
      <c r="B44" s="60"/>
      <c r="C44" s="30"/>
      <c r="D44" s="30"/>
      <c r="E44" s="30"/>
    </row>
    <row r="45" spans="1:5" ht="29.4" thickBot="1">
      <c r="A45" s="48" t="s">
        <v>541</v>
      </c>
      <c r="B45" s="60"/>
      <c r="C45" s="30"/>
      <c r="D45" s="30"/>
      <c r="E45" s="30"/>
    </row>
    <row r="46" spans="1:5" ht="29.4" thickBot="1">
      <c r="A46" s="48" t="s">
        <v>542</v>
      </c>
      <c r="B46" s="60"/>
      <c r="C46" s="30"/>
      <c r="D46" s="30"/>
      <c r="E46" s="30"/>
    </row>
    <row r="47" spans="1:5" ht="29.4" thickBot="1">
      <c r="A47" s="48" t="s">
        <v>543</v>
      </c>
      <c r="B47" s="60"/>
      <c r="C47" s="30"/>
      <c r="D47" s="30"/>
      <c r="E47" s="30"/>
    </row>
    <row r="48" spans="1:5" ht="29.4" thickBot="1">
      <c r="A48" s="48" t="s">
        <v>531</v>
      </c>
      <c r="B48" s="60"/>
      <c r="C48" s="30"/>
      <c r="D48" s="30"/>
      <c r="E48" s="30"/>
    </row>
    <row r="49" spans="1:5" ht="29.4" thickBot="1">
      <c r="A49" s="48" t="s">
        <v>544</v>
      </c>
      <c r="B49" s="60"/>
      <c r="C49" s="30"/>
      <c r="D49" s="30"/>
      <c r="E49" s="30"/>
    </row>
    <row r="50" spans="1:5" ht="29.4" thickBot="1">
      <c r="A50" s="48" t="s">
        <v>545</v>
      </c>
      <c r="B50" s="60"/>
      <c r="C50" s="30"/>
      <c r="D50" s="30"/>
      <c r="E50" s="30"/>
    </row>
    <row r="51" spans="1:5" ht="29.4" thickBot="1">
      <c r="A51" s="48" t="s">
        <v>546</v>
      </c>
      <c r="B51" s="60"/>
      <c r="C51" s="30"/>
      <c r="D51" s="30"/>
      <c r="E51" s="30"/>
    </row>
    <row r="52" spans="1:5" ht="15" thickBot="1">
      <c r="A52" s="48" t="s">
        <v>549</v>
      </c>
      <c r="B52" s="60"/>
      <c r="C52" s="30"/>
      <c r="D52" s="30"/>
      <c r="E52" s="30"/>
    </row>
    <row r="53" spans="1:5" ht="15" thickBot="1">
      <c r="A53" s="48" t="s">
        <v>548</v>
      </c>
      <c r="B53" s="60"/>
      <c r="C53" s="30"/>
      <c r="D53" s="30"/>
      <c r="E53" s="30"/>
    </row>
    <row r="54" spans="1:5" ht="15" thickBot="1">
      <c r="A54" s="48" t="s">
        <v>547</v>
      </c>
      <c r="B54" s="60"/>
      <c r="C54" s="30"/>
      <c r="D54" s="30"/>
      <c r="E54" s="30"/>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AC71C2-4EB6-4A99-AECE-021A76D06AF2}">
  <sheetPr codeName="Sheet9"/>
  <dimension ref="A1:D24"/>
  <sheetViews>
    <sheetView workbookViewId="0"/>
  </sheetViews>
  <sheetFormatPr defaultRowHeight="14.4"/>
  <cols>
    <col min="1" max="1" width="15.21875" bestFit="1" customWidth="1"/>
    <col min="2" max="2" width="22.44140625" bestFit="1" customWidth="1"/>
    <col min="3" max="3" width="14.77734375" bestFit="1" customWidth="1"/>
    <col min="4" max="4" width="13.21875" bestFit="1" customWidth="1"/>
  </cols>
  <sheetData>
    <row r="1" spans="1:4">
      <c r="A1" s="61" t="s">
        <v>224</v>
      </c>
      <c r="B1" t="s">
        <v>259</v>
      </c>
    </row>
    <row r="3" spans="1:4">
      <c r="A3" s="61" t="s">
        <v>550</v>
      </c>
      <c r="B3" t="s">
        <v>555</v>
      </c>
      <c r="C3" t="s">
        <v>556</v>
      </c>
      <c r="D3" t="s">
        <v>553</v>
      </c>
    </row>
    <row r="4" spans="1:4">
      <c r="A4" s="1" t="s">
        <v>252</v>
      </c>
      <c r="B4">
        <v>30277.570243902435</v>
      </c>
      <c r="C4">
        <v>20</v>
      </c>
      <c r="D4">
        <v>41</v>
      </c>
    </row>
    <row r="5" spans="1:4">
      <c r="A5" s="62" t="s">
        <v>273</v>
      </c>
      <c r="B5">
        <v>36171.527499999997</v>
      </c>
      <c r="C5">
        <v>20</v>
      </c>
      <c r="D5">
        <v>12</v>
      </c>
    </row>
    <row r="6" spans="1:4">
      <c r="A6" s="62" t="s">
        <v>281</v>
      </c>
      <c r="B6">
        <v>26633.123529411765</v>
      </c>
      <c r="C6">
        <v>20</v>
      </c>
      <c r="D6">
        <v>17</v>
      </c>
    </row>
    <row r="7" spans="1:4">
      <c r="A7" s="62" t="s">
        <v>313</v>
      </c>
      <c r="B7">
        <v>29546.579166666663</v>
      </c>
      <c r="C7">
        <v>20</v>
      </c>
      <c r="D7">
        <v>12</v>
      </c>
    </row>
    <row r="8" spans="1:4">
      <c r="A8" s="1" t="s">
        <v>247</v>
      </c>
      <c r="B8">
        <v>26579.052777777782</v>
      </c>
      <c r="C8">
        <v>20</v>
      </c>
      <c r="D8">
        <v>36</v>
      </c>
    </row>
    <row r="9" spans="1:4">
      <c r="A9" s="62" t="s">
        <v>261</v>
      </c>
      <c r="B9">
        <v>26359.568235294115</v>
      </c>
      <c r="C9">
        <v>19</v>
      </c>
      <c r="D9">
        <v>17</v>
      </c>
    </row>
    <row r="10" spans="1:4">
      <c r="A10" s="62" t="s">
        <v>276</v>
      </c>
      <c r="B10">
        <v>19167.33625</v>
      </c>
      <c r="C10">
        <v>18</v>
      </c>
      <c r="D10">
        <v>8</v>
      </c>
    </row>
    <row r="11" spans="1:4">
      <c r="A11" s="62" t="s">
        <v>316</v>
      </c>
      <c r="B11">
        <v>32308.595454545459</v>
      </c>
      <c r="C11">
        <v>20</v>
      </c>
      <c r="D11">
        <v>11</v>
      </c>
    </row>
    <row r="12" spans="1:4">
      <c r="A12" s="1" t="s">
        <v>242</v>
      </c>
      <c r="B12">
        <v>18562.718249999998</v>
      </c>
      <c r="C12">
        <v>19</v>
      </c>
      <c r="D12">
        <v>40</v>
      </c>
    </row>
    <row r="13" spans="1:4">
      <c r="A13" s="62" t="s">
        <v>241</v>
      </c>
      <c r="B13">
        <v>15722.922499999999</v>
      </c>
      <c r="C13">
        <v>19</v>
      </c>
      <c r="D13">
        <v>12</v>
      </c>
    </row>
    <row r="14" spans="1:4">
      <c r="A14" s="62" t="s">
        <v>283</v>
      </c>
      <c r="B14">
        <v>22286.434545454547</v>
      </c>
      <c r="C14">
        <v>19</v>
      </c>
      <c r="D14">
        <v>11</v>
      </c>
    </row>
    <row r="15" spans="1:4">
      <c r="A15" s="62" t="s">
        <v>258</v>
      </c>
      <c r="B15">
        <v>18157.816470588237</v>
      </c>
      <c r="C15">
        <v>18</v>
      </c>
      <c r="D15">
        <v>17</v>
      </c>
    </row>
    <row r="16" spans="1:4">
      <c r="A16" s="1" t="s">
        <v>232</v>
      </c>
      <c r="B16">
        <v>25445.075897435901</v>
      </c>
      <c r="C16">
        <v>20</v>
      </c>
      <c r="D16">
        <v>39</v>
      </c>
    </row>
    <row r="17" spans="1:4">
      <c r="A17" s="62" t="s">
        <v>249</v>
      </c>
      <c r="B17">
        <v>17035.881999999998</v>
      </c>
      <c r="C17">
        <v>17</v>
      </c>
      <c r="D17">
        <v>5</v>
      </c>
    </row>
    <row r="18" spans="1:4">
      <c r="A18" s="62" t="s">
        <v>231</v>
      </c>
      <c r="B18">
        <v>23896.00647058824</v>
      </c>
      <c r="C18">
        <v>20</v>
      </c>
      <c r="D18">
        <v>17</v>
      </c>
    </row>
    <row r="19" spans="1:4">
      <c r="A19" s="62" t="s">
        <v>274</v>
      </c>
      <c r="B19">
        <v>29467.437647058821</v>
      </c>
      <c r="C19">
        <v>20</v>
      </c>
      <c r="D19">
        <v>17</v>
      </c>
    </row>
    <row r="20" spans="1:4">
      <c r="A20" s="1" t="s">
        <v>237</v>
      </c>
      <c r="B20">
        <v>23566.749565217389</v>
      </c>
      <c r="C20">
        <v>20</v>
      </c>
      <c r="D20">
        <v>46</v>
      </c>
    </row>
    <row r="21" spans="1:4">
      <c r="A21" s="62" t="s">
        <v>255</v>
      </c>
      <c r="B21">
        <v>25372.349375000002</v>
      </c>
      <c r="C21">
        <v>19</v>
      </c>
      <c r="D21">
        <v>16</v>
      </c>
    </row>
    <row r="22" spans="1:4">
      <c r="A22" s="62" t="s">
        <v>236</v>
      </c>
      <c r="B22">
        <v>29732.68375</v>
      </c>
      <c r="C22">
        <v>19</v>
      </c>
      <c r="D22">
        <v>8</v>
      </c>
    </row>
    <row r="23" spans="1:4">
      <c r="A23" s="62" t="s">
        <v>244</v>
      </c>
      <c r="B23">
        <v>20011.428181818181</v>
      </c>
      <c r="C23">
        <v>20</v>
      </c>
      <c r="D23">
        <v>22</v>
      </c>
    </row>
    <row r="24" spans="1:4">
      <c r="A24" s="1" t="s">
        <v>551</v>
      </c>
      <c r="B24">
        <v>24837.442821782184</v>
      </c>
      <c r="C24">
        <v>20</v>
      </c>
      <c r="D24">
        <v>202</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A807-2E80-4B24-94D7-6A100A6697F3}">
  <sheetPr codeName="Sheet10"/>
  <dimension ref="A1:D24"/>
  <sheetViews>
    <sheetView workbookViewId="0"/>
  </sheetViews>
  <sheetFormatPr defaultRowHeight="14.4"/>
  <cols>
    <col min="1" max="1" width="15.21875" bestFit="1" customWidth="1"/>
    <col min="2" max="2" width="22.44140625" bestFit="1" customWidth="1"/>
    <col min="3" max="3" width="14.77734375" bestFit="1" customWidth="1"/>
    <col min="4" max="4" width="13.21875" bestFit="1" customWidth="1"/>
  </cols>
  <sheetData>
    <row r="1" spans="1:4">
      <c r="A1" s="61" t="s">
        <v>224</v>
      </c>
      <c r="B1" t="s">
        <v>233</v>
      </c>
    </row>
    <row r="3" spans="1:4">
      <c r="A3" s="61" t="s">
        <v>550</v>
      </c>
      <c r="B3" t="s">
        <v>555</v>
      </c>
      <c r="C3" t="s">
        <v>556</v>
      </c>
      <c r="D3" t="s">
        <v>553</v>
      </c>
    </row>
    <row r="4" spans="1:4">
      <c r="A4" s="1" t="s">
        <v>252</v>
      </c>
      <c r="B4">
        <v>22163.452826086963</v>
      </c>
      <c r="C4">
        <v>19</v>
      </c>
      <c r="D4">
        <v>46</v>
      </c>
    </row>
    <row r="5" spans="1:4">
      <c r="A5" s="62" t="s">
        <v>273</v>
      </c>
      <c r="B5">
        <v>19303.628947368426</v>
      </c>
      <c r="C5">
        <v>19</v>
      </c>
      <c r="D5">
        <v>19</v>
      </c>
    </row>
    <row r="6" spans="1:4">
      <c r="A6" s="62" t="s">
        <v>281</v>
      </c>
      <c r="B6">
        <v>25917.056</v>
      </c>
      <c r="C6">
        <v>17</v>
      </c>
      <c r="D6">
        <v>10</v>
      </c>
    </row>
    <row r="7" spans="1:4">
      <c r="A7" s="62" t="s">
        <v>313</v>
      </c>
      <c r="B7">
        <v>23151.724705882349</v>
      </c>
      <c r="C7">
        <v>17</v>
      </c>
      <c r="D7">
        <v>17</v>
      </c>
    </row>
    <row r="8" spans="1:4">
      <c r="A8" s="1" t="s">
        <v>247</v>
      </c>
      <c r="B8">
        <v>33007.039687500008</v>
      </c>
      <c r="C8">
        <v>20</v>
      </c>
      <c r="D8">
        <v>32</v>
      </c>
    </row>
    <row r="9" spans="1:4">
      <c r="A9" s="62" t="s">
        <v>261</v>
      </c>
      <c r="B9">
        <v>34508.841666666674</v>
      </c>
      <c r="C9">
        <v>20</v>
      </c>
      <c r="D9">
        <v>18</v>
      </c>
    </row>
    <row r="10" spans="1:4">
      <c r="A10" s="62" t="s">
        <v>276</v>
      </c>
      <c r="B10">
        <v>28306.468333333334</v>
      </c>
      <c r="C10">
        <v>17</v>
      </c>
      <c r="D10">
        <v>6</v>
      </c>
    </row>
    <row r="11" spans="1:4">
      <c r="A11" s="62" t="s">
        <v>316</v>
      </c>
      <c r="B11">
        <v>33153.41375</v>
      </c>
      <c r="C11">
        <v>20</v>
      </c>
      <c r="D11">
        <v>8</v>
      </c>
    </row>
    <row r="12" spans="1:4">
      <c r="A12" s="1" t="s">
        <v>242</v>
      </c>
      <c r="B12">
        <v>30499.84714285715</v>
      </c>
      <c r="C12">
        <v>20</v>
      </c>
      <c r="D12">
        <v>42</v>
      </c>
    </row>
    <row r="13" spans="1:4">
      <c r="A13" s="62" t="s">
        <v>241</v>
      </c>
      <c r="B13">
        <v>29904.585333333336</v>
      </c>
      <c r="C13">
        <v>20</v>
      </c>
      <c r="D13">
        <v>15</v>
      </c>
    </row>
    <row r="14" spans="1:4">
      <c r="A14" s="62" t="s">
        <v>283</v>
      </c>
      <c r="B14">
        <v>26329.903846153848</v>
      </c>
      <c r="C14">
        <v>19</v>
      </c>
      <c r="D14">
        <v>13</v>
      </c>
    </row>
    <row r="15" spans="1:4">
      <c r="A15" s="62" t="s">
        <v>258</v>
      </c>
      <c r="B15">
        <v>35009.717857142859</v>
      </c>
      <c r="C15">
        <v>20</v>
      </c>
      <c r="D15">
        <v>14</v>
      </c>
    </row>
    <row r="16" spans="1:4">
      <c r="A16" s="1" t="s">
        <v>232</v>
      </c>
      <c r="B16">
        <v>30462.755000000001</v>
      </c>
      <c r="C16">
        <v>20</v>
      </c>
      <c r="D16">
        <v>44</v>
      </c>
    </row>
    <row r="17" spans="1:4">
      <c r="A17" s="62" t="s">
        <v>249</v>
      </c>
      <c r="B17">
        <v>30423.309999999998</v>
      </c>
      <c r="C17">
        <v>20</v>
      </c>
      <c r="D17">
        <v>9</v>
      </c>
    </row>
    <row r="18" spans="1:4">
      <c r="A18" s="62" t="s">
        <v>231</v>
      </c>
      <c r="B18">
        <v>36476.587142857141</v>
      </c>
      <c r="C18">
        <v>20</v>
      </c>
      <c r="D18">
        <v>21</v>
      </c>
    </row>
    <row r="19" spans="1:4">
      <c r="A19" s="62" t="s">
        <v>274</v>
      </c>
      <c r="B19">
        <v>21467.364285714284</v>
      </c>
      <c r="C19">
        <v>20</v>
      </c>
      <c r="D19">
        <v>14</v>
      </c>
    </row>
    <row r="20" spans="1:4">
      <c r="A20" s="1" t="s">
        <v>237</v>
      </c>
      <c r="B20">
        <v>26085.491951219505</v>
      </c>
      <c r="C20">
        <v>20</v>
      </c>
      <c r="D20">
        <v>41</v>
      </c>
    </row>
    <row r="21" spans="1:4">
      <c r="A21" s="62" t="s">
        <v>255</v>
      </c>
      <c r="B21">
        <v>24429.865454545456</v>
      </c>
      <c r="C21">
        <v>19</v>
      </c>
      <c r="D21">
        <v>11</v>
      </c>
    </row>
    <row r="22" spans="1:4">
      <c r="A22" s="62" t="s">
        <v>236</v>
      </c>
      <c r="B22">
        <v>29386.672272727268</v>
      </c>
      <c r="C22">
        <v>20</v>
      </c>
      <c r="D22">
        <v>22</v>
      </c>
    </row>
    <row r="23" spans="1:4">
      <c r="A23" s="62" t="s">
        <v>244</v>
      </c>
      <c r="B23">
        <v>19283.732499999998</v>
      </c>
      <c r="C23">
        <v>12</v>
      </c>
      <c r="D23">
        <v>8</v>
      </c>
    </row>
    <row r="24" spans="1:4">
      <c r="A24" s="1" t="s">
        <v>551</v>
      </c>
      <c r="B24">
        <v>28129.775951219497</v>
      </c>
      <c r="C24">
        <v>20</v>
      </c>
      <c r="D24">
        <v>205</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44EC49-00AB-4510-BC01-456F241D31E3}">
  <sheetPr codeName="Sheet11"/>
  <dimension ref="A1:D24"/>
  <sheetViews>
    <sheetView workbookViewId="0"/>
  </sheetViews>
  <sheetFormatPr defaultRowHeight="14.4"/>
  <cols>
    <col min="1" max="1" width="15.21875" bestFit="1" customWidth="1"/>
    <col min="2" max="2" width="22.44140625" bestFit="1" customWidth="1"/>
    <col min="3" max="3" width="14.77734375" bestFit="1" customWidth="1"/>
    <col min="4" max="4" width="13.21875" bestFit="1" customWidth="1"/>
  </cols>
  <sheetData>
    <row r="1" spans="1:4">
      <c r="A1" s="61" t="s">
        <v>224</v>
      </c>
      <c r="B1" t="s">
        <v>250</v>
      </c>
    </row>
    <row r="3" spans="1:4">
      <c r="A3" s="61" t="s">
        <v>550</v>
      </c>
      <c r="B3" t="s">
        <v>555</v>
      </c>
      <c r="C3" t="s">
        <v>556</v>
      </c>
      <c r="D3" t="s">
        <v>553</v>
      </c>
    </row>
    <row r="4" spans="1:4">
      <c r="A4" s="1" t="s">
        <v>252</v>
      </c>
      <c r="B4">
        <v>30089.481176470585</v>
      </c>
      <c r="C4">
        <v>20</v>
      </c>
      <c r="D4">
        <v>34</v>
      </c>
    </row>
    <row r="5" spans="1:4">
      <c r="A5" s="62" t="s">
        <v>273</v>
      </c>
      <c r="B5">
        <v>25892.624285714286</v>
      </c>
      <c r="C5">
        <v>20</v>
      </c>
      <c r="D5">
        <v>7</v>
      </c>
    </row>
    <row r="6" spans="1:4">
      <c r="A6" s="62" t="s">
        <v>281</v>
      </c>
      <c r="B6">
        <v>31079.562307692311</v>
      </c>
      <c r="C6">
        <v>18</v>
      </c>
      <c r="D6">
        <v>13</v>
      </c>
    </row>
    <row r="7" spans="1:4">
      <c r="A7" s="62" t="s">
        <v>313</v>
      </c>
      <c r="B7">
        <v>31268.548571428575</v>
      </c>
      <c r="C7">
        <v>19</v>
      </c>
      <c r="D7">
        <v>14</v>
      </c>
    </row>
    <row r="8" spans="1:4">
      <c r="A8" s="1" t="s">
        <v>247</v>
      </c>
      <c r="B8">
        <v>27999.57444444445</v>
      </c>
      <c r="C8">
        <v>20</v>
      </c>
      <c r="D8">
        <v>36</v>
      </c>
    </row>
    <row r="9" spans="1:4">
      <c r="A9" s="62" t="s">
        <v>261</v>
      </c>
      <c r="B9">
        <v>42142.548888888887</v>
      </c>
      <c r="C9">
        <v>20</v>
      </c>
      <c r="D9">
        <v>9</v>
      </c>
    </row>
    <row r="10" spans="1:4">
      <c r="A10" s="62" t="s">
        <v>276</v>
      </c>
      <c r="B10">
        <v>21435.018124999999</v>
      </c>
      <c r="C10">
        <v>18</v>
      </c>
      <c r="D10">
        <v>16</v>
      </c>
    </row>
    <row r="11" spans="1:4">
      <c r="A11" s="62" t="s">
        <v>316</v>
      </c>
      <c r="B11">
        <v>25976.495454545449</v>
      </c>
      <c r="C11">
        <v>16</v>
      </c>
      <c r="D11">
        <v>11</v>
      </c>
    </row>
    <row r="12" spans="1:4">
      <c r="A12" s="1" t="s">
        <v>242</v>
      </c>
      <c r="B12">
        <v>24692.623333333329</v>
      </c>
      <c r="C12">
        <v>20</v>
      </c>
      <c r="D12">
        <v>42</v>
      </c>
    </row>
    <row r="13" spans="1:4">
      <c r="A13" s="62" t="s">
        <v>241</v>
      </c>
      <c r="B13">
        <v>23787.696818181816</v>
      </c>
      <c r="C13">
        <v>20</v>
      </c>
      <c r="D13">
        <v>22</v>
      </c>
    </row>
    <row r="14" spans="1:4">
      <c r="A14" s="62" t="s">
        <v>283</v>
      </c>
      <c r="B14">
        <v>25184.723999999998</v>
      </c>
      <c r="C14">
        <v>20</v>
      </c>
      <c r="D14">
        <v>10</v>
      </c>
    </row>
    <row r="15" spans="1:4">
      <c r="A15" s="62" t="s">
        <v>258</v>
      </c>
      <c r="B15">
        <v>26191.360999999997</v>
      </c>
      <c r="C15">
        <v>20</v>
      </c>
      <c r="D15">
        <v>10</v>
      </c>
    </row>
    <row r="16" spans="1:4">
      <c r="A16" s="1" t="s">
        <v>232</v>
      </c>
      <c r="B16">
        <v>23060.71205882353</v>
      </c>
      <c r="C16">
        <v>20</v>
      </c>
      <c r="D16">
        <v>34</v>
      </c>
    </row>
    <row r="17" spans="1:4">
      <c r="A17" s="62" t="s">
        <v>249</v>
      </c>
      <c r="B17">
        <v>19666.161250000001</v>
      </c>
      <c r="C17">
        <v>20</v>
      </c>
      <c r="D17">
        <v>16</v>
      </c>
    </row>
    <row r="18" spans="1:4">
      <c r="A18" s="62" t="s">
        <v>231</v>
      </c>
      <c r="B18">
        <v>21978.285833333332</v>
      </c>
      <c r="C18">
        <v>20</v>
      </c>
      <c r="D18">
        <v>12</v>
      </c>
    </row>
    <row r="19" spans="1:4">
      <c r="A19" s="62" t="s">
        <v>274</v>
      </c>
      <c r="B19">
        <v>34277.699999999997</v>
      </c>
      <c r="C19">
        <v>15</v>
      </c>
      <c r="D19">
        <v>6</v>
      </c>
    </row>
    <row r="20" spans="1:4">
      <c r="A20" s="1" t="s">
        <v>237</v>
      </c>
      <c r="B20">
        <v>29814.964651162794</v>
      </c>
      <c r="C20">
        <v>20</v>
      </c>
      <c r="D20">
        <v>43</v>
      </c>
    </row>
    <row r="21" spans="1:4">
      <c r="A21" s="62" t="s">
        <v>255</v>
      </c>
      <c r="B21">
        <v>32401.506428571429</v>
      </c>
      <c r="C21">
        <v>20</v>
      </c>
      <c r="D21">
        <v>14</v>
      </c>
    </row>
    <row r="22" spans="1:4">
      <c r="A22" s="62" t="s">
        <v>236</v>
      </c>
      <c r="B22">
        <v>26789.402499999997</v>
      </c>
      <c r="C22">
        <v>20</v>
      </c>
      <c r="D22">
        <v>20</v>
      </c>
    </row>
    <row r="23" spans="1:4">
      <c r="A23" s="62" t="s">
        <v>244</v>
      </c>
      <c r="B23">
        <v>32514.926666666663</v>
      </c>
      <c r="C23">
        <v>15</v>
      </c>
      <c r="D23">
        <v>9</v>
      </c>
    </row>
    <row r="24" spans="1:4">
      <c r="A24" s="1" t="s">
        <v>551</v>
      </c>
      <c r="B24">
        <v>27165.211164021144</v>
      </c>
      <c r="C24">
        <v>20</v>
      </c>
      <c r="D24">
        <v>189</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3173B0-FC68-4A63-A19C-83853B76B578}">
  <sheetPr codeName="Sheet12"/>
  <dimension ref="A1:D24"/>
  <sheetViews>
    <sheetView workbookViewId="0"/>
  </sheetViews>
  <sheetFormatPr defaultRowHeight="14.4"/>
  <cols>
    <col min="1" max="1" width="15.21875" bestFit="1" customWidth="1"/>
    <col min="2" max="2" width="22.44140625" bestFit="1" customWidth="1"/>
    <col min="3" max="3" width="14.77734375" bestFit="1" customWidth="1"/>
    <col min="4" max="4" width="13.21875" bestFit="1" customWidth="1"/>
  </cols>
  <sheetData>
    <row r="1" spans="1:4">
      <c r="A1" s="61" t="s">
        <v>224</v>
      </c>
      <c r="B1" t="s">
        <v>238</v>
      </c>
    </row>
    <row r="3" spans="1:4">
      <c r="A3" s="61" t="s">
        <v>550</v>
      </c>
      <c r="B3" t="s">
        <v>555</v>
      </c>
      <c r="C3" t="s">
        <v>556</v>
      </c>
      <c r="D3" t="s">
        <v>553</v>
      </c>
    </row>
    <row r="4" spans="1:4">
      <c r="A4" s="1" t="s">
        <v>252</v>
      </c>
      <c r="B4">
        <v>23598.542051282056</v>
      </c>
      <c r="C4">
        <v>20</v>
      </c>
      <c r="D4">
        <v>39</v>
      </c>
    </row>
    <row r="5" spans="1:4">
      <c r="A5" s="62" t="s">
        <v>273</v>
      </c>
      <c r="B5">
        <v>35354.51</v>
      </c>
      <c r="C5">
        <v>20</v>
      </c>
      <c r="D5">
        <v>14</v>
      </c>
    </row>
    <row r="6" spans="1:4">
      <c r="A6" s="62" t="s">
        <v>281</v>
      </c>
      <c r="B6">
        <v>15742.151428571426</v>
      </c>
      <c r="C6">
        <v>19</v>
      </c>
      <c r="D6">
        <v>14</v>
      </c>
    </row>
    <row r="7" spans="1:4">
      <c r="A7" s="62" t="s">
        <v>313</v>
      </c>
      <c r="B7">
        <v>18635.443636363638</v>
      </c>
      <c r="C7">
        <v>20</v>
      </c>
      <c r="D7">
        <v>11</v>
      </c>
    </row>
    <row r="8" spans="1:4">
      <c r="A8" s="1" t="s">
        <v>247</v>
      </c>
      <c r="B8">
        <v>28656.104000000007</v>
      </c>
      <c r="C8">
        <v>20</v>
      </c>
      <c r="D8">
        <v>35</v>
      </c>
    </row>
    <row r="9" spans="1:4">
      <c r="A9" s="62" t="s">
        <v>261</v>
      </c>
      <c r="B9">
        <v>22095.781111111115</v>
      </c>
      <c r="C9">
        <v>17</v>
      </c>
      <c r="D9">
        <v>9</v>
      </c>
    </row>
    <row r="10" spans="1:4">
      <c r="A10" s="62" t="s">
        <v>276</v>
      </c>
      <c r="B10">
        <v>29671.436000000002</v>
      </c>
      <c r="C10">
        <v>19</v>
      </c>
      <c r="D10">
        <v>15</v>
      </c>
    </row>
    <row r="11" spans="1:4">
      <c r="A11" s="62" t="s">
        <v>316</v>
      </c>
      <c r="B11">
        <v>32639.097272727275</v>
      </c>
      <c r="C11">
        <v>20</v>
      </c>
      <c r="D11">
        <v>11</v>
      </c>
    </row>
    <row r="12" spans="1:4">
      <c r="A12" s="1" t="s">
        <v>242</v>
      </c>
      <c r="B12">
        <v>31222.345652173917</v>
      </c>
      <c r="C12">
        <v>20</v>
      </c>
      <c r="D12">
        <v>46</v>
      </c>
    </row>
    <row r="13" spans="1:4">
      <c r="A13" s="62" t="s">
        <v>241</v>
      </c>
      <c r="B13">
        <v>30762.212666666666</v>
      </c>
      <c r="C13">
        <v>19</v>
      </c>
      <c r="D13">
        <v>15</v>
      </c>
    </row>
    <row r="14" spans="1:4">
      <c r="A14" s="62" t="s">
        <v>283</v>
      </c>
      <c r="B14">
        <v>30267.56625</v>
      </c>
      <c r="C14">
        <v>20</v>
      </c>
      <c r="D14">
        <v>16</v>
      </c>
    </row>
    <row r="15" spans="1:4">
      <c r="A15" s="62" t="s">
        <v>258</v>
      </c>
      <c r="B15">
        <v>32700.91</v>
      </c>
      <c r="C15">
        <v>18</v>
      </c>
      <c r="D15">
        <v>15</v>
      </c>
    </row>
    <row r="16" spans="1:4">
      <c r="A16" s="1" t="s">
        <v>232</v>
      </c>
      <c r="B16">
        <v>33929.912926829275</v>
      </c>
      <c r="C16">
        <v>20</v>
      </c>
      <c r="D16">
        <v>41</v>
      </c>
    </row>
    <row r="17" spans="1:4">
      <c r="A17" s="62" t="s">
        <v>249</v>
      </c>
      <c r="B17">
        <v>32320.638750000006</v>
      </c>
      <c r="C17">
        <v>19</v>
      </c>
      <c r="D17">
        <v>16</v>
      </c>
    </row>
    <row r="18" spans="1:4">
      <c r="A18" s="62" t="s">
        <v>231</v>
      </c>
      <c r="B18">
        <v>39907.642727272731</v>
      </c>
      <c r="C18">
        <v>20</v>
      </c>
      <c r="D18">
        <v>11</v>
      </c>
    </row>
    <row r="19" spans="1:4">
      <c r="A19" s="62" t="s">
        <v>274</v>
      </c>
      <c r="B19">
        <v>31072.295714285716</v>
      </c>
      <c r="C19">
        <v>20</v>
      </c>
      <c r="D19">
        <v>14</v>
      </c>
    </row>
    <row r="20" spans="1:4">
      <c r="A20" s="1" t="s">
        <v>237</v>
      </c>
      <c r="B20">
        <v>30210.79</v>
      </c>
      <c r="C20">
        <v>20</v>
      </c>
      <c r="D20">
        <v>33</v>
      </c>
    </row>
    <row r="21" spans="1:4">
      <c r="A21" s="62" t="s">
        <v>255</v>
      </c>
      <c r="B21">
        <v>23265.396249999998</v>
      </c>
      <c r="C21">
        <v>19</v>
      </c>
      <c r="D21">
        <v>16</v>
      </c>
    </row>
    <row r="22" spans="1:4">
      <c r="A22" s="62" t="s">
        <v>236</v>
      </c>
      <c r="B22">
        <v>50280.825714285718</v>
      </c>
      <c r="C22">
        <v>19</v>
      </c>
      <c r="D22">
        <v>7</v>
      </c>
    </row>
    <row r="23" spans="1:4">
      <c r="A23" s="62" t="s">
        <v>244</v>
      </c>
      <c r="B23">
        <v>27274.395</v>
      </c>
      <c r="C23">
        <v>20</v>
      </c>
      <c r="D23">
        <v>10</v>
      </c>
    </row>
    <row r="24" spans="1:4">
      <c r="A24" s="1" t="s">
        <v>551</v>
      </c>
      <c r="B24">
        <v>29626.892680412355</v>
      </c>
      <c r="C24">
        <v>20</v>
      </c>
      <c r="D24">
        <v>194</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6C1DFC-5BEB-45ED-8969-C96FE71ED4C0}">
  <sheetPr codeName="Sheet13"/>
  <dimension ref="A1:B9"/>
  <sheetViews>
    <sheetView topLeftCell="A2" workbookViewId="0">
      <selection activeCell="A4" sqref="A4:A8"/>
      <pivotSelection pane="bottomRight" showHeader="1" activeRow="6" click="1" r:id="rId1">
        <pivotArea dataOnly="0" labelOnly="1" fieldPosition="0">
          <references count="1">
            <reference field="3" count="0"/>
          </references>
        </pivotArea>
      </pivotSelection>
    </sheetView>
  </sheetViews>
  <sheetFormatPr defaultRowHeight="14.4"/>
  <cols>
    <col min="1" max="1" width="15.21875" bestFit="1" customWidth="1"/>
    <col min="2" max="2" width="14.88671875" bestFit="1" customWidth="1"/>
    <col min="3" max="4" width="13.21875" bestFit="1" customWidth="1"/>
    <col min="5" max="6" width="11" bestFit="1" customWidth="1"/>
    <col min="7" max="7" width="14.88671875" bestFit="1" customWidth="1"/>
    <col min="8" max="8" width="10" bestFit="1" customWidth="1"/>
    <col min="9" max="9" width="8.6640625" bestFit="1" customWidth="1"/>
    <col min="10" max="10" width="8.77734375" bestFit="1" customWidth="1"/>
    <col min="11" max="11" width="9.6640625" bestFit="1" customWidth="1"/>
    <col min="12" max="12" width="13.21875" bestFit="1" customWidth="1"/>
    <col min="13" max="13" width="10" bestFit="1" customWidth="1"/>
    <col min="14" max="14" width="8.6640625" bestFit="1" customWidth="1"/>
    <col min="15" max="15" width="8.77734375" bestFit="1" customWidth="1"/>
    <col min="16" max="16" width="9.6640625" bestFit="1" customWidth="1"/>
    <col min="17" max="17" width="24" bestFit="1" customWidth="1"/>
    <col min="18" max="18" width="19.6640625" bestFit="1" customWidth="1"/>
    <col min="19" max="19" width="18" bestFit="1" customWidth="1"/>
  </cols>
  <sheetData>
    <row r="1" spans="1:2">
      <c r="A1" s="61" t="s">
        <v>224</v>
      </c>
      <c r="B1" t="s">
        <v>554</v>
      </c>
    </row>
    <row r="3" spans="1:2">
      <c r="A3" s="61" t="s">
        <v>550</v>
      </c>
      <c r="B3" t="s">
        <v>552</v>
      </c>
    </row>
    <row r="4" spans="1:2">
      <c r="A4" s="1" t="s">
        <v>557</v>
      </c>
      <c r="B4">
        <v>2067</v>
      </c>
    </row>
    <row r="5" spans="1:2">
      <c r="A5" s="1" t="s">
        <v>247</v>
      </c>
      <c r="B5">
        <v>1933</v>
      </c>
    </row>
    <row r="6" spans="1:2">
      <c r="A6" s="1" t="s">
        <v>242</v>
      </c>
      <c r="B6">
        <v>2170</v>
      </c>
    </row>
    <row r="7" spans="1:2">
      <c r="A7" s="1" t="s">
        <v>232</v>
      </c>
      <c r="B7">
        <v>2140</v>
      </c>
    </row>
    <row r="8" spans="1:2">
      <c r="A8" s="1" t="s">
        <v>237</v>
      </c>
      <c r="B8">
        <v>2264</v>
      </c>
    </row>
    <row r="9" spans="1:2">
      <c r="A9" s="1" t="s">
        <v>551</v>
      </c>
      <c r="B9">
        <v>10574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357B29-E7A3-45BD-A4BA-EC2952E755B2}">
  <sheetPr codeName="Sheet14"/>
  <dimension ref="A2:M350"/>
  <sheetViews>
    <sheetView topLeftCell="A10" workbookViewId="0">
      <selection activeCell="J14" sqref="J14"/>
    </sheetView>
  </sheetViews>
  <sheetFormatPr defaultRowHeight="14.4"/>
  <cols>
    <col min="1" max="1" width="12.5546875" bestFit="1" customWidth="1"/>
    <col min="2" max="2" width="14.88671875" bestFit="1" customWidth="1"/>
  </cols>
  <sheetData>
    <row r="2" spans="1:13">
      <c r="A2" s="61" t="s">
        <v>550</v>
      </c>
      <c r="B2" t="s">
        <v>552</v>
      </c>
    </row>
    <row r="3" spans="1:13">
      <c r="A3" s="1" t="s">
        <v>291</v>
      </c>
      <c r="B3">
        <v>51</v>
      </c>
    </row>
    <row r="4" spans="1:13">
      <c r="A4" s="1" t="s">
        <v>432</v>
      </c>
      <c r="B4">
        <v>51</v>
      </c>
    </row>
    <row r="5" spans="1:13">
      <c r="A5" s="1" t="s">
        <v>435</v>
      </c>
      <c r="B5">
        <v>18</v>
      </c>
    </row>
    <row r="6" spans="1:13">
      <c r="A6" s="1" t="s">
        <v>312</v>
      </c>
      <c r="B6">
        <v>28</v>
      </c>
    </row>
    <row r="7" spans="1:13">
      <c r="A7" s="65" t="s">
        <v>376</v>
      </c>
      <c r="B7" s="66">
        <v>21</v>
      </c>
    </row>
    <row r="8" spans="1:13">
      <c r="A8" s="67" t="s">
        <v>339</v>
      </c>
      <c r="B8" s="68">
        <v>10</v>
      </c>
    </row>
    <row r="9" spans="1:13">
      <c r="A9" s="67" t="s">
        <v>358</v>
      </c>
      <c r="B9" s="68">
        <v>49</v>
      </c>
    </row>
    <row r="10" spans="1:13">
      <c r="A10" s="67" t="s">
        <v>337</v>
      </c>
      <c r="B10" s="68">
        <v>10</v>
      </c>
    </row>
    <row r="11" spans="1:13">
      <c r="A11" s="67" t="s">
        <v>404</v>
      </c>
      <c r="B11" s="68">
        <v>16</v>
      </c>
    </row>
    <row r="12" spans="1:13">
      <c r="A12" s="67" t="s">
        <v>397</v>
      </c>
      <c r="B12" s="68">
        <v>37</v>
      </c>
    </row>
    <row r="13" spans="1:13">
      <c r="A13" s="69" t="s">
        <v>429</v>
      </c>
      <c r="B13" s="70">
        <v>16</v>
      </c>
      <c r="M13" s="64"/>
    </row>
    <row r="14" spans="1:13">
      <c r="A14" s="1" t="s">
        <v>297</v>
      </c>
      <c r="B14">
        <v>37</v>
      </c>
    </row>
    <row r="15" spans="1:13">
      <c r="A15" s="1" t="s">
        <v>374</v>
      </c>
      <c r="B15">
        <v>15</v>
      </c>
    </row>
    <row r="16" spans="1:13">
      <c r="A16" s="1" t="s">
        <v>267</v>
      </c>
      <c r="B16">
        <v>57</v>
      </c>
    </row>
    <row r="17" spans="1:2">
      <c r="A17" s="1" t="s">
        <v>405</v>
      </c>
      <c r="B17">
        <v>48</v>
      </c>
    </row>
    <row r="18" spans="1:2">
      <c r="A18" s="1" t="s">
        <v>476</v>
      </c>
      <c r="B18">
        <v>41</v>
      </c>
    </row>
    <row r="19" spans="1:2">
      <c r="A19" s="1" t="s">
        <v>345</v>
      </c>
      <c r="B19">
        <v>132</v>
      </c>
    </row>
    <row r="20" spans="1:2">
      <c r="A20" s="1" t="s">
        <v>459</v>
      </c>
      <c r="B20">
        <v>13</v>
      </c>
    </row>
    <row r="21" spans="1:2">
      <c r="A21" s="1" t="s">
        <v>394</v>
      </c>
      <c r="B21">
        <v>37</v>
      </c>
    </row>
    <row r="22" spans="1:2">
      <c r="A22" s="1" t="s">
        <v>431</v>
      </c>
      <c r="B22">
        <v>33</v>
      </c>
    </row>
    <row r="23" spans="1:2">
      <c r="A23" s="1" t="s">
        <v>243</v>
      </c>
      <c r="B23">
        <v>34</v>
      </c>
    </row>
    <row r="24" spans="1:2">
      <c r="A24" s="1" t="s">
        <v>427</v>
      </c>
      <c r="B24">
        <v>35</v>
      </c>
    </row>
    <row r="25" spans="1:2">
      <c r="A25" s="1" t="s">
        <v>412</v>
      </c>
      <c r="B25">
        <v>30</v>
      </c>
    </row>
    <row r="26" spans="1:2">
      <c r="A26" s="1" t="s">
        <v>372</v>
      </c>
      <c r="B26">
        <v>7</v>
      </c>
    </row>
    <row r="27" spans="1:2">
      <c r="A27" s="1" t="s">
        <v>366</v>
      </c>
      <c r="B27">
        <v>18</v>
      </c>
    </row>
    <row r="28" spans="1:2">
      <c r="A28" s="1" t="s">
        <v>414</v>
      </c>
      <c r="B28">
        <v>30</v>
      </c>
    </row>
    <row r="29" spans="1:2">
      <c r="A29" s="1" t="s">
        <v>310</v>
      </c>
      <c r="B29">
        <v>2</v>
      </c>
    </row>
    <row r="30" spans="1:2">
      <c r="A30" s="1" t="s">
        <v>333</v>
      </c>
      <c r="B30">
        <v>53</v>
      </c>
    </row>
    <row r="31" spans="1:2">
      <c r="A31" s="1" t="s">
        <v>262</v>
      </c>
      <c r="B31">
        <v>28</v>
      </c>
    </row>
    <row r="32" spans="1:2">
      <c r="A32" s="1" t="s">
        <v>430</v>
      </c>
      <c r="B32">
        <v>31</v>
      </c>
    </row>
    <row r="33" spans="1:2">
      <c r="A33" s="1" t="s">
        <v>365</v>
      </c>
      <c r="B33">
        <v>37</v>
      </c>
    </row>
    <row r="34" spans="1:2">
      <c r="A34" s="1" t="s">
        <v>402</v>
      </c>
      <c r="B34">
        <v>24</v>
      </c>
    </row>
    <row r="35" spans="1:2">
      <c r="A35" s="1" t="s">
        <v>362</v>
      </c>
      <c r="B35">
        <v>29</v>
      </c>
    </row>
    <row r="36" spans="1:2">
      <c r="A36" s="1" t="s">
        <v>317</v>
      </c>
      <c r="B36">
        <v>40</v>
      </c>
    </row>
    <row r="37" spans="1:2">
      <c r="A37" s="1" t="s">
        <v>325</v>
      </c>
      <c r="B37">
        <v>77</v>
      </c>
    </row>
    <row r="38" spans="1:2">
      <c r="A38" s="1" t="s">
        <v>355</v>
      </c>
      <c r="B38">
        <v>21</v>
      </c>
    </row>
    <row r="39" spans="1:2">
      <c r="A39" s="1" t="s">
        <v>368</v>
      </c>
      <c r="B39">
        <v>25</v>
      </c>
    </row>
    <row r="40" spans="1:2">
      <c r="A40" s="1" t="s">
        <v>342</v>
      </c>
      <c r="B40">
        <v>75</v>
      </c>
    </row>
    <row r="41" spans="1:2">
      <c r="A41" s="1" t="s">
        <v>481</v>
      </c>
      <c r="B41">
        <v>7</v>
      </c>
    </row>
    <row r="42" spans="1:2">
      <c r="A42" s="1" t="s">
        <v>443</v>
      </c>
      <c r="B42">
        <v>22</v>
      </c>
    </row>
    <row r="43" spans="1:2">
      <c r="A43" s="1" t="s">
        <v>263</v>
      </c>
      <c r="B43">
        <v>35</v>
      </c>
    </row>
    <row r="44" spans="1:2">
      <c r="A44" s="1" t="s">
        <v>353</v>
      </c>
      <c r="B44">
        <v>32</v>
      </c>
    </row>
    <row r="45" spans="1:2">
      <c r="A45" s="1" t="s">
        <v>457</v>
      </c>
      <c r="B45">
        <v>18</v>
      </c>
    </row>
    <row r="46" spans="1:2">
      <c r="A46" s="1" t="s">
        <v>480</v>
      </c>
      <c r="B46">
        <v>15</v>
      </c>
    </row>
    <row r="47" spans="1:2">
      <c r="A47" s="1" t="s">
        <v>442</v>
      </c>
      <c r="B47">
        <v>11</v>
      </c>
    </row>
    <row r="48" spans="1:2">
      <c r="A48" s="1" t="s">
        <v>484</v>
      </c>
      <c r="B48">
        <v>12</v>
      </c>
    </row>
    <row r="49" spans="1:2">
      <c r="A49" s="1" t="s">
        <v>488</v>
      </c>
      <c r="B49">
        <v>5</v>
      </c>
    </row>
    <row r="50" spans="1:2">
      <c r="A50" s="1" t="s">
        <v>314</v>
      </c>
      <c r="B50">
        <v>55</v>
      </c>
    </row>
    <row r="51" spans="1:2">
      <c r="A51" s="1" t="s">
        <v>360</v>
      </c>
      <c r="B51">
        <v>27</v>
      </c>
    </row>
    <row r="52" spans="1:2">
      <c r="A52" s="1" t="s">
        <v>369</v>
      </c>
      <c r="B52">
        <v>24</v>
      </c>
    </row>
    <row r="53" spans="1:2">
      <c r="A53" s="1" t="s">
        <v>389</v>
      </c>
      <c r="B53">
        <v>45</v>
      </c>
    </row>
    <row r="54" spans="1:2">
      <c r="A54" s="1" t="s">
        <v>272</v>
      </c>
      <c r="B54">
        <v>75</v>
      </c>
    </row>
    <row r="55" spans="1:2">
      <c r="A55" s="1" t="s">
        <v>331</v>
      </c>
      <c r="B55">
        <v>44</v>
      </c>
    </row>
    <row r="56" spans="1:2">
      <c r="A56" s="1" t="s">
        <v>294</v>
      </c>
      <c r="B56">
        <v>75</v>
      </c>
    </row>
    <row r="57" spans="1:2">
      <c r="A57" s="1" t="s">
        <v>448</v>
      </c>
      <c r="B57">
        <v>18</v>
      </c>
    </row>
    <row r="58" spans="1:2">
      <c r="A58" s="1" t="s">
        <v>400</v>
      </c>
      <c r="B58">
        <v>2</v>
      </c>
    </row>
    <row r="59" spans="1:2">
      <c r="A59" s="1" t="s">
        <v>347</v>
      </c>
      <c r="B59">
        <v>12</v>
      </c>
    </row>
    <row r="60" spans="1:2">
      <c r="A60" s="1" t="s">
        <v>434</v>
      </c>
      <c r="B60">
        <v>17</v>
      </c>
    </row>
    <row r="61" spans="1:2">
      <c r="A61" s="1" t="s">
        <v>288</v>
      </c>
      <c r="B61">
        <v>28</v>
      </c>
    </row>
    <row r="62" spans="1:2">
      <c r="A62" s="1" t="s">
        <v>377</v>
      </c>
      <c r="B62">
        <v>47</v>
      </c>
    </row>
    <row r="63" spans="1:2">
      <c r="A63" s="1" t="s">
        <v>416</v>
      </c>
      <c r="B63">
        <v>31</v>
      </c>
    </row>
    <row r="64" spans="1:2">
      <c r="A64" s="1" t="s">
        <v>426</v>
      </c>
      <c r="B64">
        <v>9</v>
      </c>
    </row>
    <row r="65" spans="1:2">
      <c r="A65" s="1" t="s">
        <v>462</v>
      </c>
      <c r="B65">
        <v>33</v>
      </c>
    </row>
    <row r="66" spans="1:2">
      <c r="A66" s="1" t="s">
        <v>253</v>
      </c>
      <c r="B66">
        <v>80</v>
      </c>
    </row>
    <row r="67" spans="1:2">
      <c r="A67" s="1" t="s">
        <v>401</v>
      </c>
      <c r="B67">
        <v>8</v>
      </c>
    </row>
    <row r="68" spans="1:2">
      <c r="A68" s="1" t="s">
        <v>384</v>
      </c>
      <c r="B68">
        <v>7</v>
      </c>
    </row>
    <row r="69" spans="1:2">
      <c r="A69" s="1" t="s">
        <v>319</v>
      </c>
      <c r="B69">
        <v>61</v>
      </c>
    </row>
    <row r="70" spans="1:2">
      <c r="A70" s="1" t="s">
        <v>307</v>
      </c>
      <c r="B70">
        <v>18</v>
      </c>
    </row>
    <row r="71" spans="1:2">
      <c r="A71" s="1" t="s">
        <v>477</v>
      </c>
      <c r="B71">
        <v>17</v>
      </c>
    </row>
    <row r="72" spans="1:2">
      <c r="A72" s="1" t="s">
        <v>466</v>
      </c>
      <c r="B72">
        <v>39</v>
      </c>
    </row>
    <row r="73" spans="1:2">
      <c r="A73" s="1" t="s">
        <v>408</v>
      </c>
      <c r="B73">
        <v>37</v>
      </c>
    </row>
    <row r="74" spans="1:2">
      <c r="A74" s="1" t="s">
        <v>382</v>
      </c>
      <c r="B74">
        <v>22</v>
      </c>
    </row>
    <row r="75" spans="1:2">
      <c r="A75" s="1" t="s">
        <v>359</v>
      </c>
      <c r="B75">
        <v>67</v>
      </c>
    </row>
    <row r="76" spans="1:2">
      <c r="A76" s="1" t="s">
        <v>264</v>
      </c>
      <c r="B76">
        <v>36</v>
      </c>
    </row>
    <row r="77" spans="1:2">
      <c r="A77" s="1" t="s">
        <v>464</v>
      </c>
      <c r="B77">
        <v>1</v>
      </c>
    </row>
    <row r="78" spans="1:2">
      <c r="A78" s="1" t="s">
        <v>278</v>
      </c>
      <c r="B78">
        <v>10</v>
      </c>
    </row>
    <row r="79" spans="1:2">
      <c r="A79" s="1" t="s">
        <v>302</v>
      </c>
      <c r="B79">
        <v>42</v>
      </c>
    </row>
    <row r="80" spans="1:2">
      <c r="A80" s="1" t="s">
        <v>279</v>
      </c>
      <c r="B80">
        <v>41</v>
      </c>
    </row>
    <row r="81" spans="1:2">
      <c r="A81" s="1" t="s">
        <v>388</v>
      </c>
      <c r="B81">
        <v>52</v>
      </c>
    </row>
    <row r="82" spans="1:2">
      <c r="A82" s="1" t="s">
        <v>441</v>
      </c>
      <c r="B82">
        <v>7</v>
      </c>
    </row>
    <row r="83" spans="1:2">
      <c r="A83" s="1" t="s">
        <v>417</v>
      </c>
      <c r="B83">
        <v>44</v>
      </c>
    </row>
    <row r="84" spans="1:2">
      <c r="A84" s="1" t="s">
        <v>452</v>
      </c>
      <c r="B84">
        <v>24</v>
      </c>
    </row>
    <row r="85" spans="1:2">
      <c r="A85" s="1" t="s">
        <v>275</v>
      </c>
      <c r="B85">
        <v>8</v>
      </c>
    </row>
    <row r="86" spans="1:2">
      <c r="A86" s="1" t="s">
        <v>346</v>
      </c>
      <c r="B86">
        <v>32</v>
      </c>
    </row>
    <row r="87" spans="1:2">
      <c r="A87" s="1" t="s">
        <v>474</v>
      </c>
      <c r="B87">
        <v>8</v>
      </c>
    </row>
    <row r="88" spans="1:2">
      <c r="A88" s="1" t="s">
        <v>447</v>
      </c>
      <c r="B88">
        <v>37</v>
      </c>
    </row>
    <row r="89" spans="1:2">
      <c r="A89" s="1" t="s">
        <v>332</v>
      </c>
      <c r="B89">
        <v>40</v>
      </c>
    </row>
    <row r="90" spans="1:2">
      <c r="A90" s="1" t="s">
        <v>349</v>
      </c>
      <c r="B90">
        <v>11</v>
      </c>
    </row>
    <row r="91" spans="1:2">
      <c r="A91" s="1" t="s">
        <v>363</v>
      </c>
      <c r="B91">
        <v>66</v>
      </c>
    </row>
    <row r="92" spans="1:2">
      <c r="A92" s="1" t="s">
        <v>473</v>
      </c>
      <c r="B92">
        <v>19</v>
      </c>
    </row>
    <row r="93" spans="1:2">
      <c r="A93" s="1" t="s">
        <v>379</v>
      </c>
      <c r="B93">
        <v>43</v>
      </c>
    </row>
    <row r="94" spans="1:2">
      <c r="A94" s="1" t="s">
        <v>324</v>
      </c>
      <c r="B94">
        <v>23</v>
      </c>
    </row>
    <row r="95" spans="1:2">
      <c r="A95" s="1" t="s">
        <v>460</v>
      </c>
      <c r="B95">
        <v>38</v>
      </c>
    </row>
    <row r="96" spans="1:2">
      <c r="A96" s="1" t="s">
        <v>357</v>
      </c>
      <c r="B96">
        <v>55</v>
      </c>
    </row>
    <row r="97" spans="1:2">
      <c r="A97" s="1" t="s">
        <v>465</v>
      </c>
      <c r="B97">
        <v>28</v>
      </c>
    </row>
    <row r="98" spans="1:2">
      <c r="A98" s="1" t="s">
        <v>375</v>
      </c>
      <c r="B98">
        <v>23</v>
      </c>
    </row>
    <row r="99" spans="1:2">
      <c r="A99" s="1" t="s">
        <v>490</v>
      </c>
      <c r="B99">
        <v>12</v>
      </c>
    </row>
    <row r="100" spans="1:2">
      <c r="A100" s="1" t="s">
        <v>341</v>
      </c>
      <c r="B100">
        <v>19</v>
      </c>
    </row>
    <row r="101" spans="1:2">
      <c r="A101" s="1" t="s">
        <v>493</v>
      </c>
      <c r="B101">
        <v>18</v>
      </c>
    </row>
    <row r="102" spans="1:2">
      <c r="A102" s="1" t="s">
        <v>356</v>
      </c>
      <c r="B102">
        <v>62</v>
      </c>
    </row>
    <row r="103" spans="1:2">
      <c r="A103" s="1" t="s">
        <v>286</v>
      </c>
      <c r="B103">
        <v>32</v>
      </c>
    </row>
    <row r="104" spans="1:2">
      <c r="A104" s="1" t="s">
        <v>478</v>
      </c>
      <c r="B104">
        <v>1</v>
      </c>
    </row>
    <row r="105" spans="1:2">
      <c r="A105" s="1" t="s">
        <v>334</v>
      </c>
      <c r="B105">
        <v>23</v>
      </c>
    </row>
    <row r="106" spans="1:2">
      <c r="A106" s="1" t="s">
        <v>386</v>
      </c>
      <c r="B106">
        <v>36</v>
      </c>
    </row>
    <row r="107" spans="1:2">
      <c r="A107" s="1" t="s">
        <v>305</v>
      </c>
      <c r="B107">
        <v>30</v>
      </c>
    </row>
    <row r="108" spans="1:2">
      <c r="A108" s="1" t="s">
        <v>354</v>
      </c>
      <c r="B108">
        <v>43</v>
      </c>
    </row>
    <row r="109" spans="1:2">
      <c r="A109" s="1" t="s">
        <v>467</v>
      </c>
      <c r="B109">
        <v>22</v>
      </c>
    </row>
    <row r="110" spans="1:2">
      <c r="A110" s="1" t="s">
        <v>306</v>
      </c>
      <c r="B110">
        <v>23</v>
      </c>
    </row>
    <row r="111" spans="1:2">
      <c r="A111" s="1" t="s">
        <v>422</v>
      </c>
      <c r="B111">
        <v>5</v>
      </c>
    </row>
    <row r="112" spans="1:2">
      <c r="A112" s="1" t="s">
        <v>413</v>
      </c>
      <c r="B112">
        <v>29</v>
      </c>
    </row>
    <row r="113" spans="1:2">
      <c r="A113" s="1" t="s">
        <v>440</v>
      </c>
      <c r="B113">
        <v>27</v>
      </c>
    </row>
    <row r="114" spans="1:2">
      <c r="A114" s="1" t="s">
        <v>308</v>
      </c>
      <c r="B114">
        <v>29</v>
      </c>
    </row>
    <row r="115" spans="1:2">
      <c r="A115" s="1" t="s">
        <v>315</v>
      </c>
      <c r="B115">
        <v>79</v>
      </c>
    </row>
    <row r="116" spans="1:2">
      <c r="A116" s="1" t="s">
        <v>265</v>
      </c>
      <c r="B116">
        <v>89</v>
      </c>
    </row>
    <row r="117" spans="1:2">
      <c r="A117" s="1" t="s">
        <v>406</v>
      </c>
      <c r="B117">
        <v>16</v>
      </c>
    </row>
    <row r="118" spans="1:2">
      <c r="A118" s="1" t="s">
        <v>468</v>
      </c>
      <c r="B118">
        <v>28</v>
      </c>
    </row>
    <row r="119" spans="1:2">
      <c r="A119" s="1" t="s">
        <v>320</v>
      </c>
      <c r="B119">
        <v>13</v>
      </c>
    </row>
    <row r="120" spans="1:2">
      <c r="A120" s="1" t="s">
        <v>311</v>
      </c>
      <c r="B120">
        <v>40</v>
      </c>
    </row>
    <row r="121" spans="1:2">
      <c r="A121" s="1" t="s">
        <v>321</v>
      </c>
      <c r="B121">
        <v>61</v>
      </c>
    </row>
    <row r="122" spans="1:2">
      <c r="A122" s="1" t="s">
        <v>282</v>
      </c>
      <c r="B122">
        <v>59</v>
      </c>
    </row>
    <row r="123" spans="1:2">
      <c r="A123" s="1" t="s">
        <v>367</v>
      </c>
      <c r="B123">
        <v>3</v>
      </c>
    </row>
    <row r="124" spans="1:2">
      <c r="A124" s="1" t="s">
        <v>407</v>
      </c>
      <c r="B124">
        <v>45</v>
      </c>
    </row>
    <row r="125" spans="1:2">
      <c r="A125" s="1" t="s">
        <v>482</v>
      </c>
      <c r="B125">
        <v>28</v>
      </c>
    </row>
    <row r="126" spans="1:2">
      <c r="A126" s="1" t="s">
        <v>351</v>
      </c>
      <c r="B126">
        <v>23</v>
      </c>
    </row>
    <row r="127" spans="1:2">
      <c r="A127" s="1" t="s">
        <v>425</v>
      </c>
      <c r="B127">
        <v>45</v>
      </c>
    </row>
    <row r="128" spans="1:2">
      <c r="A128" s="1" t="s">
        <v>338</v>
      </c>
      <c r="B128">
        <v>41</v>
      </c>
    </row>
    <row r="129" spans="1:2">
      <c r="A129" s="1" t="s">
        <v>329</v>
      </c>
      <c r="B129">
        <v>33</v>
      </c>
    </row>
    <row r="130" spans="1:2">
      <c r="A130" s="1" t="s">
        <v>392</v>
      </c>
      <c r="B130">
        <v>21</v>
      </c>
    </row>
    <row r="131" spans="1:2">
      <c r="A131" s="1" t="s">
        <v>450</v>
      </c>
      <c r="B131">
        <v>31</v>
      </c>
    </row>
    <row r="132" spans="1:2">
      <c r="A132" s="1" t="s">
        <v>458</v>
      </c>
      <c r="B132">
        <v>13</v>
      </c>
    </row>
    <row r="133" spans="1:2">
      <c r="A133" s="1" t="s">
        <v>399</v>
      </c>
      <c r="B133">
        <v>41</v>
      </c>
    </row>
    <row r="134" spans="1:2">
      <c r="A134" s="1" t="s">
        <v>387</v>
      </c>
      <c r="B134">
        <v>34</v>
      </c>
    </row>
    <row r="135" spans="1:2">
      <c r="A135" s="1" t="s">
        <v>390</v>
      </c>
      <c r="B135">
        <v>7</v>
      </c>
    </row>
    <row r="136" spans="1:2">
      <c r="A136" s="1" t="s">
        <v>403</v>
      </c>
      <c r="B136">
        <v>26</v>
      </c>
    </row>
    <row r="137" spans="1:2">
      <c r="A137" s="1" t="s">
        <v>410</v>
      </c>
      <c r="B137">
        <v>50</v>
      </c>
    </row>
    <row r="138" spans="1:2">
      <c r="A138" s="1" t="s">
        <v>318</v>
      </c>
      <c r="B138">
        <v>88</v>
      </c>
    </row>
    <row r="139" spans="1:2">
      <c r="A139" s="1" t="s">
        <v>270</v>
      </c>
      <c r="B139">
        <v>7</v>
      </c>
    </row>
    <row r="140" spans="1:2">
      <c r="A140" s="1" t="s">
        <v>340</v>
      </c>
      <c r="B140">
        <v>38</v>
      </c>
    </row>
    <row r="141" spans="1:2">
      <c r="A141" s="1" t="s">
        <v>361</v>
      </c>
      <c r="B141">
        <v>58</v>
      </c>
    </row>
    <row r="142" spans="1:2">
      <c r="A142" s="1" t="s">
        <v>343</v>
      </c>
      <c r="B142">
        <v>32</v>
      </c>
    </row>
    <row r="143" spans="1:2">
      <c r="A143" s="1" t="s">
        <v>336</v>
      </c>
      <c r="B143">
        <v>42</v>
      </c>
    </row>
    <row r="144" spans="1:2">
      <c r="A144" s="1" t="s">
        <v>437</v>
      </c>
      <c r="B144">
        <v>61</v>
      </c>
    </row>
    <row r="145" spans="1:2">
      <c r="A145" s="1" t="s">
        <v>395</v>
      </c>
      <c r="B145">
        <v>11</v>
      </c>
    </row>
    <row r="146" spans="1:2">
      <c r="A146" s="1" t="s">
        <v>418</v>
      </c>
      <c r="B146">
        <v>15</v>
      </c>
    </row>
    <row r="147" spans="1:2">
      <c r="A147" s="1" t="s">
        <v>485</v>
      </c>
      <c r="B147">
        <v>37</v>
      </c>
    </row>
    <row r="148" spans="1:2">
      <c r="A148" s="1" t="s">
        <v>323</v>
      </c>
      <c r="B148">
        <v>52</v>
      </c>
    </row>
    <row r="149" spans="1:2">
      <c r="A149" s="1" t="s">
        <v>453</v>
      </c>
      <c r="B149">
        <v>9</v>
      </c>
    </row>
    <row r="150" spans="1:2">
      <c r="A150" s="1" t="s">
        <v>292</v>
      </c>
      <c r="B150">
        <v>24</v>
      </c>
    </row>
    <row r="151" spans="1:2">
      <c r="A151" s="1" t="s">
        <v>344</v>
      </c>
      <c r="B151">
        <v>52</v>
      </c>
    </row>
    <row r="152" spans="1:2">
      <c r="A152" s="1" t="s">
        <v>385</v>
      </c>
      <c r="B152">
        <v>19</v>
      </c>
    </row>
    <row r="153" spans="1:2">
      <c r="A153" s="1" t="s">
        <v>424</v>
      </c>
      <c r="B153">
        <v>3</v>
      </c>
    </row>
    <row r="154" spans="1:2">
      <c r="A154" s="1" t="s">
        <v>285</v>
      </c>
      <c r="B154">
        <v>15</v>
      </c>
    </row>
    <row r="155" spans="1:2">
      <c r="A155" s="1" t="s">
        <v>229</v>
      </c>
      <c r="B155">
        <v>18</v>
      </c>
    </row>
    <row r="156" spans="1:2">
      <c r="A156" s="1" t="s">
        <v>322</v>
      </c>
      <c r="B156">
        <v>41</v>
      </c>
    </row>
    <row r="157" spans="1:2">
      <c r="A157" s="1" t="s">
        <v>370</v>
      </c>
      <c r="B157">
        <v>12</v>
      </c>
    </row>
    <row r="158" spans="1:2">
      <c r="A158" s="1" t="s">
        <v>428</v>
      </c>
      <c r="B158">
        <v>33</v>
      </c>
    </row>
    <row r="159" spans="1:2">
      <c r="A159" s="1" t="s">
        <v>420</v>
      </c>
      <c r="B159">
        <v>20</v>
      </c>
    </row>
    <row r="160" spans="1:2">
      <c r="A160" s="1" t="s">
        <v>330</v>
      </c>
      <c r="B160">
        <v>30</v>
      </c>
    </row>
    <row r="161" spans="1:2">
      <c r="A161" s="1" t="s">
        <v>415</v>
      </c>
      <c r="B161">
        <v>28</v>
      </c>
    </row>
    <row r="162" spans="1:2">
      <c r="A162" s="1" t="s">
        <v>364</v>
      </c>
      <c r="B162">
        <v>25</v>
      </c>
    </row>
    <row r="163" spans="1:2">
      <c r="A163" s="1" t="s">
        <v>335</v>
      </c>
      <c r="B163">
        <v>24</v>
      </c>
    </row>
    <row r="164" spans="1:2">
      <c r="A164" s="1" t="s">
        <v>438</v>
      </c>
      <c r="B164">
        <v>18</v>
      </c>
    </row>
    <row r="165" spans="1:2">
      <c r="A165" s="1" t="s">
        <v>378</v>
      </c>
      <c r="B165">
        <v>1</v>
      </c>
    </row>
    <row r="166" spans="1:2">
      <c r="A166" s="1" t="s">
        <v>454</v>
      </c>
      <c r="B166">
        <v>35</v>
      </c>
    </row>
    <row r="167" spans="1:2">
      <c r="A167" s="1" t="s">
        <v>328</v>
      </c>
      <c r="B167">
        <v>26</v>
      </c>
    </row>
    <row r="168" spans="1:2">
      <c r="A168" s="1" t="s">
        <v>483</v>
      </c>
      <c r="B168">
        <v>13</v>
      </c>
    </row>
    <row r="169" spans="1:2">
      <c r="A169" s="1" t="s">
        <v>289</v>
      </c>
      <c r="B169">
        <v>12</v>
      </c>
    </row>
    <row r="170" spans="1:2">
      <c r="A170" s="1" t="s">
        <v>352</v>
      </c>
      <c r="B170">
        <v>33</v>
      </c>
    </row>
    <row r="171" spans="1:2">
      <c r="A171" s="1" t="s">
        <v>486</v>
      </c>
      <c r="B171">
        <v>6</v>
      </c>
    </row>
    <row r="172" spans="1:2">
      <c r="A172" s="1" t="s">
        <v>455</v>
      </c>
      <c r="B172">
        <v>17</v>
      </c>
    </row>
    <row r="173" spans="1:2">
      <c r="A173" s="1" t="s">
        <v>456</v>
      </c>
      <c r="B173">
        <v>16</v>
      </c>
    </row>
    <row r="174" spans="1:2">
      <c r="A174" s="1" t="s">
        <v>492</v>
      </c>
      <c r="B174">
        <v>7</v>
      </c>
    </row>
    <row r="175" spans="1:2">
      <c r="A175" s="1" t="s">
        <v>436</v>
      </c>
      <c r="B175">
        <v>40</v>
      </c>
    </row>
    <row r="176" spans="1:2">
      <c r="A176" s="1" t="s">
        <v>487</v>
      </c>
      <c r="B176">
        <v>13</v>
      </c>
    </row>
    <row r="177" spans="1:2">
      <c r="A177" s="1" t="s">
        <v>371</v>
      </c>
      <c r="B177">
        <v>47</v>
      </c>
    </row>
    <row r="178" spans="1:2">
      <c r="A178" s="1" t="s">
        <v>391</v>
      </c>
      <c r="B178">
        <v>38</v>
      </c>
    </row>
    <row r="179" spans="1:2">
      <c r="A179" s="1" t="s">
        <v>449</v>
      </c>
      <c r="B179">
        <v>22</v>
      </c>
    </row>
    <row r="180" spans="1:2">
      <c r="A180" s="1" t="s">
        <v>475</v>
      </c>
      <c r="B180">
        <v>15</v>
      </c>
    </row>
    <row r="181" spans="1:2">
      <c r="A181" s="1" t="s">
        <v>393</v>
      </c>
      <c r="B181">
        <v>23</v>
      </c>
    </row>
    <row r="182" spans="1:2">
      <c r="A182" s="1" t="s">
        <v>444</v>
      </c>
      <c r="B182">
        <v>22</v>
      </c>
    </row>
    <row r="183" spans="1:2">
      <c r="A183" s="1" t="s">
        <v>381</v>
      </c>
      <c r="B183">
        <v>4</v>
      </c>
    </row>
    <row r="184" spans="1:2">
      <c r="A184" s="1" t="s">
        <v>489</v>
      </c>
      <c r="B184">
        <v>15</v>
      </c>
    </row>
    <row r="185" spans="1:2">
      <c r="A185" s="1" t="s">
        <v>380</v>
      </c>
      <c r="B185">
        <v>53</v>
      </c>
    </row>
    <row r="186" spans="1:2">
      <c r="A186" s="1" t="s">
        <v>409</v>
      </c>
      <c r="B186">
        <v>38</v>
      </c>
    </row>
    <row r="187" spans="1:2">
      <c r="A187" s="1" t="s">
        <v>479</v>
      </c>
      <c r="B187">
        <v>23</v>
      </c>
    </row>
    <row r="188" spans="1:2">
      <c r="A188" s="1" t="s">
        <v>419</v>
      </c>
      <c r="B188">
        <v>40</v>
      </c>
    </row>
    <row r="189" spans="1:2">
      <c r="A189" s="1" t="s">
        <v>300</v>
      </c>
      <c r="B189">
        <v>34</v>
      </c>
    </row>
    <row r="190" spans="1:2">
      <c r="A190" s="1" t="s">
        <v>491</v>
      </c>
      <c r="B190">
        <v>10</v>
      </c>
    </row>
    <row r="191" spans="1:2">
      <c r="A191" s="1" t="s">
        <v>326</v>
      </c>
      <c r="B191">
        <v>36</v>
      </c>
    </row>
    <row r="192" spans="1:2">
      <c r="A192" s="1" t="s">
        <v>423</v>
      </c>
      <c r="B192">
        <v>20</v>
      </c>
    </row>
    <row r="193" spans="1:2">
      <c r="A193" s="1" t="s">
        <v>446</v>
      </c>
      <c r="B193">
        <v>7</v>
      </c>
    </row>
    <row r="194" spans="1:2">
      <c r="A194" s="1" t="s">
        <v>463</v>
      </c>
      <c r="B194">
        <v>30</v>
      </c>
    </row>
    <row r="195" spans="1:2">
      <c r="A195" s="1" t="s">
        <v>290</v>
      </c>
      <c r="B195">
        <v>12</v>
      </c>
    </row>
    <row r="196" spans="1:2">
      <c r="A196" s="1" t="s">
        <v>396</v>
      </c>
      <c r="B196">
        <v>75</v>
      </c>
    </row>
    <row r="197" spans="1:2">
      <c r="A197" s="1" t="s">
        <v>470</v>
      </c>
      <c r="B197">
        <v>26</v>
      </c>
    </row>
    <row r="198" spans="1:2">
      <c r="A198" s="1" t="s">
        <v>398</v>
      </c>
      <c r="B198">
        <v>8</v>
      </c>
    </row>
    <row r="199" spans="1:2">
      <c r="A199" s="1" t="s">
        <v>445</v>
      </c>
      <c r="B199">
        <v>31</v>
      </c>
    </row>
    <row r="200" spans="1:2">
      <c r="A200" s="1" t="s">
        <v>327</v>
      </c>
      <c r="B200">
        <v>27</v>
      </c>
    </row>
    <row r="201" spans="1:2">
      <c r="A201" s="1" t="s">
        <v>383</v>
      </c>
      <c r="B201">
        <v>16</v>
      </c>
    </row>
    <row r="202" spans="1:2">
      <c r="A202" s="1" t="s">
        <v>411</v>
      </c>
      <c r="B202">
        <v>38</v>
      </c>
    </row>
    <row r="203" spans="1:2">
      <c r="A203" s="1" t="s">
        <v>373</v>
      </c>
      <c r="B203">
        <v>29</v>
      </c>
    </row>
    <row r="204" spans="1:2">
      <c r="A204" s="1" t="s">
        <v>461</v>
      </c>
      <c r="B204">
        <v>30</v>
      </c>
    </row>
    <row r="205" spans="1:2">
      <c r="A205" s="1" t="s">
        <v>433</v>
      </c>
      <c r="B205">
        <v>11</v>
      </c>
    </row>
    <row r="206" spans="1:2">
      <c r="A206" s="1" t="s">
        <v>309</v>
      </c>
      <c r="B206">
        <v>60</v>
      </c>
    </row>
    <row r="207" spans="1:2">
      <c r="A207" s="1" t="s">
        <v>348</v>
      </c>
      <c r="B207">
        <v>48</v>
      </c>
    </row>
    <row r="208" spans="1:2">
      <c r="A208" s="1" t="s">
        <v>471</v>
      </c>
      <c r="B208">
        <v>11</v>
      </c>
    </row>
    <row r="209" spans="1:2">
      <c r="A209" s="1" t="s">
        <v>350</v>
      </c>
      <c r="B209">
        <v>4</v>
      </c>
    </row>
    <row r="210" spans="1:2">
      <c r="A210" s="1" t="s">
        <v>439</v>
      </c>
      <c r="B210">
        <v>39</v>
      </c>
    </row>
    <row r="211" spans="1:2">
      <c r="A211" s="1" t="s">
        <v>421</v>
      </c>
      <c r="B211">
        <v>30</v>
      </c>
    </row>
    <row r="212" spans="1:2">
      <c r="A212" s="1" t="s">
        <v>451</v>
      </c>
      <c r="B212">
        <v>22</v>
      </c>
    </row>
    <row r="213" spans="1:2">
      <c r="A213" s="1" t="s">
        <v>472</v>
      </c>
      <c r="B213">
        <v>37</v>
      </c>
    </row>
    <row r="214" spans="1:2">
      <c r="A214" s="1" t="s">
        <v>469</v>
      </c>
      <c r="B214">
        <v>31</v>
      </c>
    </row>
    <row r="215" spans="1:2">
      <c r="A215" s="63">
        <v>44928</v>
      </c>
      <c r="B215">
        <v>33</v>
      </c>
    </row>
    <row r="216" spans="1:2">
      <c r="A216" s="63">
        <v>44929</v>
      </c>
      <c r="B216">
        <v>36</v>
      </c>
    </row>
    <row r="217" spans="1:2">
      <c r="A217" s="63">
        <v>44930</v>
      </c>
      <c r="B217">
        <v>35</v>
      </c>
    </row>
    <row r="218" spans="1:2">
      <c r="A218" s="63">
        <v>44931</v>
      </c>
      <c r="B218">
        <v>50</v>
      </c>
    </row>
    <row r="219" spans="1:2">
      <c r="A219" s="63">
        <v>44932</v>
      </c>
      <c r="B219">
        <v>15</v>
      </c>
    </row>
    <row r="220" spans="1:2">
      <c r="A220" s="63">
        <v>44933</v>
      </c>
      <c r="B220">
        <v>21</v>
      </c>
    </row>
    <row r="221" spans="1:2">
      <c r="A221" s="63">
        <v>44935</v>
      </c>
      <c r="B221">
        <v>17</v>
      </c>
    </row>
    <row r="222" spans="1:2">
      <c r="A222" s="63">
        <v>44936</v>
      </c>
      <c r="B222">
        <v>25</v>
      </c>
    </row>
    <row r="223" spans="1:2">
      <c r="A223" s="63">
        <v>44937</v>
      </c>
      <c r="B223">
        <v>9</v>
      </c>
    </row>
    <row r="224" spans="1:2">
      <c r="A224" s="63">
        <v>44938</v>
      </c>
      <c r="B224">
        <v>36</v>
      </c>
    </row>
    <row r="225" spans="1:2">
      <c r="A225" s="63">
        <v>44958</v>
      </c>
      <c r="B225">
        <v>18</v>
      </c>
    </row>
    <row r="226" spans="1:2">
      <c r="A226" s="63">
        <v>44959</v>
      </c>
      <c r="B226">
        <v>5</v>
      </c>
    </row>
    <row r="227" spans="1:2">
      <c r="A227" s="63">
        <v>44960</v>
      </c>
      <c r="B227">
        <v>32</v>
      </c>
    </row>
    <row r="228" spans="1:2">
      <c r="A228" s="63">
        <v>44961</v>
      </c>
      <c r="B228">
        <v>18</v>
      </c>
    </row>
    <row r="229" spans="1:2">
      <c r="A229" s="63">
        <v>44962</v>
      </c>
      <c r="B229">
        <v>8</v>
      </c>
    </row>
    <row r="230" spans="1:2">
      <c r="A230" s="63">
        <v>44963</v>
      </c>
      <c r="B230">
        <v>56</v>
      </c>
    </row>
    <row r="231" spans="1:2">
      <c r="A231" s="63">
        <v>44964</v>
      </c>
      <c r="B231">
        <v>6</v>
      </c>
    </row>
    <row r="232" spans="1:2">
      <c r="A232" s="63">
        <v>44965</v>
      </c>
      <c r="B232">
        <v>7</v>
      </c>
    </row>
    <row r="233" spans="1:2">
      <c r="A233" s="63">
        <v>44966</v>
      </c>
      <c r="B233">
        <v>51</v>
      </c>
    </row>
    <row r="234" spans="1:2">
      <c r="A234" s="63">
        <v>44967</v>
      </c>
      <c r="B234">
        <v>48</v>
      </c>
    </row>
    <row r="235" spans="1:2">
      <c r="A235" s="63">
        <v>44968</v>
      </c>
      <c r="B235">
        <v>15</v>
      </c>
    </row>
    <row r="236" spans="1:2">
      <c r="A236" s="63">
        <v>44969</v>
      </c>
      <c r="B236">
        <v>26</v>
      </c>
    </row>
    <row r="237" spans="1:2">
      <c r="A237" s="63">
        <v>44986</v>
      </c>
      <c r="B237">
        <v>23</v>
      </c>
    </row>
    <row r="238" spans="1:2">
      <c r="A238" s="63">
        <v>44987</v>
      </c>
      <c r="B238">
        <v>48</v>
      </c>
    </row>
    <row r="239" spans="1:2">
      <c r="A239" s="63">
        <v>44988</v>
      </c>
      <c r="B239">
        <v>53</v>
      </c>
    </row>
    <row r="240" spans="1:2">
      <c r="A240" s="63">
        <v>44990</v>
      </c>
      <c r="B240">
        <v>50</v>
      </c>
    </row>
    <row r="241" spans="1:2">
      <c r="A241" s="63">
        <v>44991</v>
      </c>
      <c r="B241">
        <v>16</v>
      </c>
    </row>
    <row r="242" spans="1:2">
      <c r="A242" s="63">
        <v>44992</v>
      </c>
      <c r="B242">
        <v>74</v>
      </c>
    </row>
    <row r="243" spans="1:2">
      <c r="A243" s="63">
        <v>44993</v>
      </c>
      <c r="B243">
        <v>11</v>
      </c>
    </row>
    <row r="244" spans="1:2">
      <c r="A244" s="63">
        <v>44994</v>
      </c>
      <c r="B244">
        <v>33</v>
      </c>
    </row>
    <row r="245" spans="1:2">
      <c r="A245" s="63">
        <v>44995</v>
      </c>
      <c r="B245">
        <v>17</v>
      </c>
    </row>
    <row r="246" spans="1:2">
      <c r="A246" s="63">
        <v>44996</v>
      </c>
      <c r="B246">
        <v>20</v>
      </c>
    </row>
    <row r="247" spans="1:2">
      <c r="A247" s="63">
        <v>44997</v>
      </c>
      <c r="B247">
        <v>38</v>
      </c>
    </row>
    <row r="248" spans="1:2">
      <c r="A248" s="63">
        <v>45017</v>
      </c>
      <c r="B248">
        <v>21</v>
      </c>
    </row>
    <row r="249" spans="1:2">
      <c r="A249" s="63">
        <v>45018</v>
      </c>
      <c r="B249">
        <v>13</v>
      </c>
    </row>
    <row r="250" spans="1:2">
      <c r="A250" s="63">
        <v>45019</v>
      </c>
      <c r="B250">
        <v>41</v>
      </c>
    </row>
    <row r="251" spans="1:2">
      <c r="A251" s="63">
        <v>45020</v>
      </c>
      <c r="B251">
        <v>7</v>
      </c>
    </row>
    <row r="252" spans="1:2">
      <c r="A252" s="63">
        <v>45021</v>
      </c>
      <c r="B252">
        <v>36</v>
      </c>
    </row>
    <row r="253" spans="1:2">
      <c r="A253" s="63">
        <v>45022</v>
      </c>
      <c r="B253">
        <v>35</v>
      </c>
    </row>
    <row r="254" spans="1:2">
      <c r="A254" s="63">
        <v>45023</v>
      </c>
      <c r="B254">
        <v>23</v>
      </c>
    </row>
    <row r="255" spans="1:2">
      <c r="A255" s="63">
        <v>45024</v>
      </c>
      <c r="B255">
        <v>58</v>
      </c>
    </row>
    <row r="256" spans="1:2">
      <c r="A256" s="63">
        <v>45025</v>
      </c>
      <c r="B256">
        <v>32</v>
      </c>
    </row>
    <row r="257" spans="1:2">
      <c r="A257" s="63">
        <v>45026</v>
      </c>
      <c r="B257">
        <v>23</v>
      </c>
    </row>
    <row r="258" spans="1:2">
      <c r="A258" s="63">
        <v>45027</v>
      </c>
      <c r="B258">
        <v>29</v>
      </c>
    </row>
    <row r="259" spans="1:2">
      <c r="A259" s="63">
        <v>45028</v>
      </c>
      <c r="B259">
        <v>31</v>
      </c>
    </row>
    <row r="260" spans="1:2">
      <c r="A260" s="63">
        <v>45047</v>
      </c>
      <c r="B260">
        <v>20</v>
      </c>
    </row>
    <row r="261" spans="1:2">
      <c r="A261" s="63">
        <v>45048</v>
      </c>
      <c r="B261">
        <v>38</v>
      </c>
    </row>
    <row r="262" spans="1:2">
      <c r="A262" s="63">
        <v>45050</v>
      </c>
      <c r="B262">
        <v>8</v>
      </c>
    </row>
    <row r="263" spans="1:2">
      <c r="A263" s="63">
        <v>45051</v>
      </c>
      <c r="B263">
        <v>75</v>
      </c>
    </row>
    <row r="264" spans="1:2">
      <c r="A264" s="63">
        <v>45052</v>
      </c>
      <c r="B264">
        <v>21</v>
      </c>
    </row>
    <row r="265" spans="1:2">
      <c r="A265" s="63">
        <v>45053</v>
      </c>
      <c r="B265">
        <v>18</v>
      </c>
    </row>
    <row r="266" spans="1:2">
      <c r="A266" s="63">
        <v>45054</v>
      </c>
      <c r="B266">
        <v>43</v>
      </c>
    </row>
    <row r="267" spans="1:2">
      <c r="A267" s="63">
        <v>45056</v>
      </c>
      <c r="B267">
        <v>43</v>
      </c>
    </row>
    <row r="268" spans="1:2">
      <c r="A268" s="63">
        <v>45057</v>
      </c>
      <c r="B268">
        <v>23</v>
      </c>
    </row>
    <row r="269" spans="1:2">
      <c r="A269" s="63">
        <v>45058</v>
      </c>
      <c r="B269">
        <v>29</v>
      </c>
    </row>
    <row r="270" spans="1:2">
      <c r="A270" s="63">
        <v>45078</v>
      </c>
      <c r="B270">
        <v>40</v>
      </c>
    </row>
    <row r="271" spans="1:2">
      <c r="A271" s="63">
        <v>45079</v>
      </c>
      <c r="B271">
        <v>63</v>
      </c>
    </row>
    <row r="272" spans="1:2">
      <c r="A272" s="63">
        <v>45080</v>
      </c>
      <c r="B272">
        <v>12</v>
      </c>
    </row>
    <row r="273" spans="1:2">
      <c r="A273" s="63">
        <v>45081</v>
      </c>
      <c r="B273">
        <v>29</v>
      </c>
    </row>
    <row r="274" spans="1:2">
      <c r="A274" s="63">
        <v>45082</v>
      </c>
      <c r="B274">
        <v>65</v>
      </c>
    </row>
    <row r="275" spans="1:2">
      <c r="A275" s="63">
        <v>45083</v>
      </c>
      <c r="B275">
        <v>46</v>
      </c>
    </row>
    <row r="276" spans="1:2">
      <c r="A276" s="63">
        <v>45084</v>
      </c>
      <c r="B276">
        <v>10</v>
      </c>
    </row>
    <row r="277" spans="1:2">
      <c r="A277" s="63">
        <v>45085</v>
      </c>
      <c r="B277">
        <v>19</v>
      </c>
    </row>
    <row r="278" spans="1:2">
      <c r="A278" s="63">
        <v>45086</v>
      </c>
      <c r="B278">
        <v>28</v>
      </c>
    </row>
    <row r="279" spans="1:2">
      <c r="A279" s="63">
        <v>45087</v>
      </c>
      <c r="B279">
        <v>67</v>
      </c>
    </row>
    <row r="280" spans="1:2">
      <c r="A280" s="63">
        <v>45088</v>
      </c>
      <c r="B280">
        <v>1</v>
      </c>
    </row>
    <row r="281" spans="1:2">
      <c r="A281" s="63">
        <v>45089</v>
      </c>
      <c r="B281">
        <v>46</v>
      </c>
    </row>
    <row r="282" spans="1:2">
      <c r="A282" s="63">
        <v>45108</v>
      </c>
      <c r="B282">
        <v>17</v>
      </c>
    </row>
    <row r="283" spans="1:2">
      <c r="A283" s="63">
        <v>45109</v>
      </c>
      <c r="B283">
        <v>84</v>
      </c>
    </row>
    <row r="284" spans="1:2">
      <c r="A284" s="63">
        <v>45110</v>
      </c>
      <c r="B284">
        <v>17</v>
      </c>
    </row>
    <row r="285" spans="1:2">
      <c r="A285" s="63">
        <v>45113</v>
      </c>
      <c r="B285">
        <v>50</v>
      </c>
    </row>
    <row r="286" spans="1:2">
      <c r="A286" s="63">
        <v>45114</v>
      </c>
      <c r="B286">
        <v>8</v>
      </c>
    </row>
    <row r="287" spans="1:2">
      <c r="A287" s="63">
        <v>45115</v>
      </c>
      <c r="B287">
        <v>45</v>
      </c>
    </row>
    <row r="288" spans="1:2">
      <c r="A288" s="63">
        <v>45116</v>
      </c>
      <c r="B288">
        <v>34</v>
      </c>
    </row>
    <row r="289" spans="1:2">
      <c r="A289" s="63">
        <v>45117</v>
      </c>
      <c r="B289">
        <v>68</v>
      </c>
    </row>
    <row r="290" spans="1:2">
      <c r="A290" s="63">
        <v>45118</v>
      </c>
      <c r="B290">
        <v>25</v>
      </c>
    </row>
    <row r="291" spans="1:2">
      <c r="A291" s="63">
        <v>45119</v>
      </c>
      <c r="B291">
        <v>12</v>
      </c>
    </row>
    <row r="292" spans="1:2">
      <c r="A292" s="63">
        <v>45139</v>
      </c>
      <c r="B292">
        <v>3</v>
      </c>
    </row>
    <row r="293" spans="1:2">
      <c r="A293" s="63">
        <v>45140</v>
      </c>
      <c r="B293">
        <v>58</v>
      </c>
    </row>
    <row r="294" spans="1:2">
      <c r="A294" s="63">
        <v>45141</v>
      </c>
      <c r="B294">
        <v>35</v>
      </c>
    </row>
    <row r="295" spans="1:2">
      <c r="A295" s="63">
        <v>45142</v>
      </c>
      <c r="B295">
        <v>6</v>
      </c>
    </row>
    <row r="296" spans="1:2">
      <c r="A296" s="63">
        <v>45143</v>
      </c>
      <c r="B296">
        <v>27</v>
      </c>
    </row>
    <row r="297" spans="1:2">
      <c r="A297" s="63">
        <v>45144</v>
      </c>
      <c r="B297">
        <v>25</v>
      </c>
    </row>
    <row r="298" spans="1:2">
      <c r="A298" s="63">
        <v>45145</v>
      </c>
      <c r="B298">
        <v>55</v>
      </c>
    </row>
    <row r="299" spans="1:2">
      <c r="A299" s="63">
        <v>45146</v>
      </c>
      <c r="B299">
        <v>15</v>
      </c>
    </row>
    <row r="300" spans="1:2">
      <c r="A300" s="63">
        <v>45148</v>
      </c>
      <c r="B300">
        <v>45</v>
      </c>
    </row>
    <row r="301" spans="1:2">
      <c r="A301" s="63">
        <v>45149</v>
      </c>
      <c r="B301">
        <v>20</v>
      </c>
    </row>
    <row r="302" spans="1:2">
      <c r="A302" s="63">
        <v>45170</v>
      </c>
      <c r="B302">
        <v>37</v>
      </c>
    </row>
    <row r="303" spans="1:2">
      <c r="A303" s="63">
        <v>45171</v>
      </c>
      <c r="B303">
        <v>6</v>
      </c>
    </row>
    <row r="304" spans="1:2">
      <c r="A304" s="63">
        <v>45172</v>
      </c>
      <c r="B304">
        <v>26</v>
      </c>
    </row>
    <row r="305" spans="1:2">
      <c r="A305" s="63">
        <v>45173</v>
      </c>
      <c r="B305">
        <v>24</v>
      </c>
    </row>
    <row r="306" spans="1:2">
      <c r="A306" s="63">
        <v>45174</v>
      </c>
      <c r="B306">
        <v>31</v>
      </c>
    </row>
    <row r="307" spans="1:2">
      <c r="A307" s="63">
        <v>45175</v>
      </c>
      <c r="B307">
        <v>47</v>
      </c>
    </row>
    <row r="308" spans="1:2">
      <c r="A308" s="63">
        <v>45176</v>
      </c>
      <c r="B308">
        <v>62</v>
      </c>
    </row>
    <row r="309" spans="1:2">
      <c r="A309" s="63">
        <v>45177</v>
      </c>
      <c r="B309">
        <v>27</v>
      </c>
    </row>
    <row r="310" spans="1:2">
      <c r="A310" s="63">
        <v>45178</v>
      </c>
      <c r="B310">
        <v>8</v>
      </c>
    </row>
    <row r="311" spans="1:2">
      <c r="A311" s="63">
        <v>45179</v>
      </c>
      <c r="B311">
        <v>42</v>
      </c>
    </row>
    <row r="312" spans="1:2">
      <c r="A312" s="63">
        <v>45180</v>
      </c>
      <c r="B312">
        <v>27</v>
      </c>
    </row>
    <row r="313" spans="1:2">
      <c r="A313" s="63">
        <v>45181</v>
      </c>
      <c r="B313">
        <v>26</v>
      </c>
    </row>
    <row r="314" spans="1:2">
      <c r="A314" s="63">
        <v>45200</v>
      </c>
      <c r="B314">
        <v>15</v>
      </c>
    </row>
    <row r="315" spans="1:2">
      <c r="A315" s="63">
        <v>45201</v>
      </c>
      <c r="B315">
        <v>35</v>
      </c>
    </row>
    <row r="316" spans="1:2">
      <c r="A316" s="63">
        <v>45202</v>
      </c>
      <c r="B316">
        <v>46</v>
      </c>
    </row>
    <row r="317" spans="1:2">
      <c r="A317" s="63">
        <v>45203</v>
      </c>
      <c r="B317">
        <v>24</v>
      </c>
    </row>
    <row r="318" spans="1:2">
      <c r="A318" s="63">
        <v>45204</v>
      </c>
      <c r="B318">
        <v>27</v>
      </c>
    </row>
    <row r="319" spans="1:2">
      <c r="A319" s="63">
        <v>45205</v>
      </c>
      <c r="B319">
        <v>25</v>
      </c>
    </row>
    <row r="320" spans="1:2">
      <c r="A320" s="63">
        <v>45206</v>
      </c>
      <c r="B320">
        <v>16</v>
      </c>
    </row>
    <row r="321" spans="1:2">
      <c r="A321" s="63">
        <v>45207</v>
      </c>
      <c r="B321">
        <v>51</v>
      </c>
    </row>
    <row r="322" spans="1:2">
      <c r="A322" s="63">
        <v>45208</v>
      </c>
      <c r="B322">
        <v>41</v>
      </c>
    </row>
    <row r="323" spans="1:2">
      <c r="A323" s="63">
        <v>45209</v>
      </c>
      <c r="B323">
        <v>21</v>
      </c>
    </row>
    <row r="324" spans="1:2">
      <c r="A324" s="63">
        <v>45210</v>
      </c>
      <c r="B324">
        <v>51</v>
      </c>
    </row>
    <row r="325" spans="1:2">
      <c r="A325" s="63">
        <v>45211</v>
      </c>
      <c r="B325">
        <v>43</v>
      </c>
    </row>
    <row r="326" spans="1:2">
      <c r="A326" s="63">
        <v>45231</v>
      </c>
      <c r="B326">
        <v>48</v>
      </c>
    </row>
    <row r="327" spans="1:2">
      <c r="A327" s="63">
        <v>45232</v>
      </c>
      <c r="B327">
        <v>25</v>
      </c>
    </row>
    <row r="328" spans="1:2">
      <c r="A328" s="63">
        <v>45233</v>
      </c>
      <c r="B328">
        <v>74</v>
      </c>
    </row>
    <row r="329" spans="1:2">
      <c r="A329" s="63">
        <v>45234</v>
      </c>
      <c r="B329">
        <v>17</v>
      </c>
    </row>
    <row r="330" spans="1:2">
      <c r="A330" s="63">
        <v>45235</v>
      </c>
      <c r="B330">
        <v>18</v>
      </c>
    </row>
    <row r="331" spans="1:2">
      <c r="A331" s="63">
        <v>45236</v>
      </c>
      <c r="B331">
        <v>44</v>
      </c>
    </row>
    <row r="332" spans="1:2">
      <c r="A332" s="63">
        <v>45237</v>
      </c>
      <c r="B332">
        <v>62</v>
      </c>
    </row>
    <row r="333" spans="1:2">
      <c r="A333" s="63">
        <v>45238</v>
      </c>
      <c r="B333">
        <v>31</v>
      </c>
    </row>
    <row r="334" spans="1:2">
      <c r="A334" s="63">
        <v>45239</v>
      </c>
      <c r="B334">
        <v>20</v>
      </c>
    </row>
    <row r="335" spans="1:2">
      <c r="A335" s="63">
        <v>45240</v>
      </c>
      <c r="B335">
        <v>4</v>
      </c>
    </row>
    <row r="336" spans="1:2">
      <c r="A336" s="63">
        <v>45241</v>
      </c>
      <c r="B336">
        <v>39</v>
      </c>
    </row>
    <row r="337" spans="1:2">
      <c r="A337" s="63">
        <v>45242</v>
      </c>
      <c r="B337">
        <v>20</v>
      </c>
    </row>
    <row r="338" spans="1:2">
      <c r="A338" s="63">
        <v>45261</v>
      </c>
      <c r="B338">
        <v>44</v>
      </c>
    </row>
    <row r="339" spans="1:2">
      <c r="A339" s="63">
        <v>45262</v>
      </c>
      <c r="B339">
        <v>28</v>
      </c>
    </row>
    <row r="340" spans="1:2">
      <c r="A340" s="63">
        <v>45263</v>
      </c>
      <c r="B340">
        <v>3</v>
      </c>
    </row>
    <row r="341" spans="1:2">
      <c r="A341" s="63">
        <v>45264</v>
      </c>
      <c r="B341">
        <v>5</v>
      </c>
    </row>
    <row r="342" spans="1:2">
      <c r="A342" s="63">
        <v>45265</v>
      </c>
      <c r="B342">
        <v>9</v>
      </c>
    </row>
    <row r="343" spans="1:2">
      <c r="A343" s="63">
        <v>45266</v>
      </c>
      <c r="B343">
        <v>72</v>
      </c>
    </row>
    <row r="344" spans="1:2">
      <c r="A344" s="63">
        <v>45267</v>
      </c>
      <c r="B344">
        <v>14</v>
      </c>
    </row>
    <row r="345" spans="1:2">
      <c r="A345" s="63">
        <v>45268</v>
      </c>
      <c r="B345">
        <v>37</v>
      </c>
    </row>
    <row r="346" spans="1:2">
      <c r="A346" s="63">
        <v>45269</v>
      </c>
      <c r="B346">
        <v>39</v>
      </c>
    </row>
    <row r="347" spans="1:2">
      <c r="A347" s="63">
        <v>45270</v>
      </c>
      <c r="B347">
        <v>25</v>
      </c>
    </row>
    <row r="348" spans="1:2">
      <c r="A348" s="63">
        <v>45271</v>
      </c>
      <c r="B348">
        <v>33</v>
      </c>
    </row>
    <row r="349" spans="1:2">
      <c r="A349" s="63">
        <v>45272</v>
      </c>
      <c r="B349">
        <v>24</v>
      </c>
    </row>
    <row r="350" spans="1:2">
      <c r="A350" s="1" t="s">
        <v>551</v>
      </c>
      <c r="B350">
        <v>10574</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8639C5-8261-42DC-8675-6D749E6F354E}">
  <sheetPr codeName="Sheet15"/>
  <dimension ref="A1:J1001"/>
  <sheetViews>
    <sheetView workbookViewId="0">
      <selection sqref="A1:J1001"/>
    </sheetView>
  </sheetViews>
  <sheetFormatPr defaultRowHeight="14.4"/>
  <cols>
    <col min="1" max="1" width="10.5546875" bestFit="1" customWidth="1"/>
    <col min="2" max="2" width="14.33203125" bestFit="1" customWidth="1"/>
    <col min="3" max="3" width="10.6640625" bestFit="1" customWidth="1"/>
    <col min="4" max="4" width="11.44140625" bestFit="1" customWidth="1"/>
    <col min="5" max="5" width="6.5546875" bestFit="1" customWidth="1"/>
    <col min="6" max="6" width="15.21875" bestFit="1" customWidth="1"/>
    <col min="7" max="7" width="12.6640625" bestFit="1" customWidth="1"/>
    <col min="8" max="8" width="8" bestFit="1" customWidth="1"/>
    <col min="9" max="10" width="12" bestFit="1" customWidth="1"/>
  </cols>
  <sheetData>
    <row r="1" spans="1:10">
      <c r="A1" t="s">
        <v>220</v>
      </c>
      <c r="B1" t="s">
        <v>221</v>
      </c>
      <c r="C1" t="s">
        <v>222</v>
      </c>
      <c r="D1" t="s">
        <v>223</v>
      </c>
      <c r="E1" t="s">
        <v>1</v>
      </c>
      <c r="F1" t="s">
        <v>224</v>
      </c>
      <c r="G1" t="s">
        <v>225</v>
      </c>
      <c r="H1" t="s">
        <v>226</v>
      </c>
      <c r="I1" t="s">
        <v>227</v>
      </c>
      <c r="J1" t="s">
        <v>228</v>
      </c>
    </row>
    <row r="2" spans="1:10">
      <c r="A2" t="s">
        <v>229</v>
      </c>
      <c r="B2" t="s">
        <v>230</v>
      </c>
      <c r="C2" t="s">
        <v>231</v>
      </c>
      <c r="D2" t="s">
        <v>232</v>
      </c>
      <c r="E2" t="s">
        <v>6</v>
      </c>
      <c r="F2" t="s">
        <v>233</v>
      </c>
      <c r="G2" t="s">
        <v>234</v>
      </c>
      <c r="H2">
        <v>6</v>
      </c>
      <c r="I2">
        <v>4016.25</v>
      </c>
      <c r="J2">
        <v>24097.5</v>
      </c>
    </row>
    <row r="3" spans="1:10">
      <c r="A3" s="26">
        <v>44937</v>
      </c>
      <c r="B3" t="s">
        <v>235</v>
      </c>
      <c r="C3" t="s">
        <v>236</v>
      </c>
      <c r="D3" t="s">
        <v>237</v>
      </c>
      <c r="E3" t="s">
        <v>8</v>
      </c>
      <c r="F3" t="s">
        <v>238</v>
      </c>
      <c r="G3" t="s">
        <v>239</v>
      </c>
      <c r="H3">
        <v>9</v>
      </c>
      <c r="I3">
        <v>3801.85</v>
      </c>
      <c r="J3">
        <v>34216.65</v>
      </c>
    </row>
    <row r="4" spans="1:10">
      <c r="A4" s="26">
        <v>45081</v>
      </c>
      <c r="B4" t="s">
        <v>240</v>
      </c>
      <c r="C4" t="s">
        <v>241</v>
      </c>
      <c r="D4" t="s">
        <v>242</v>
      </c>
      <c r="E4" t="s">
        <v>8</v>
      </c>
      <c r="F4" t="s">
        <v>238</v>
      </c>
      <c r="G4" t="s">
        <v>239</v>
      </c>
      <c r="H4">
        <v>11</v>
      </c>
      <c r="I4">
        <v>3594.07</v>
      </c>
      <c r="J4">
        <v>39534.769999999997</v>
      </c>
    </row>
    <row r="5" spans="1:10">
      <c r="A5" t="s">
        <v>243</v>
      </c>
      <c r="B5" t="s">
        <v>235</v>
      </c>
      <c r="C5" t="s">
        <v>244</v>
      </c>
      <c r="D5" t="s">
        <v>237</v>
      </c>
      <c r="E5" t="s">
        <v>8</v>
      </c>
      <c r="F5" t="s">
        <v>245</v>
      </c>
      <c r="G5" t="s">
        <v>246</v>
      </c>
      <c r="H5">
        <v>9</v>
      </c>
      <c r="I5">
        <v>4487</v>
      </c>
      <c r="J5">
        <v>40383</v>
      </c>
    </row>
    <row r="6" spans="1:10">
      <c r="A6" s="26">
        <v>45115</v>
      </c>
      <c r="B6" t="s">
        <v>248</v>
      </c>
      <c r="C6" t="s">
        <v>249</v>
      </c>
      <c r="D6" t="s">
        <v>232</v>
      </c>
      <c r="E6" t="s">
        <v>6</v>
      </c>
      <c r="F6" t="s">
        <v>250</v>
      </c>
      <c r="G6" t="s">
        <v>251</v>
      </c>
      <c r="H6">
        <v>17</v>
      </c>
      <c r="I6">
        <v>1240.77</v>
      </c>
      <c r="J6">
        <v>21093.09</v>
      </c>
    </row>
    <row r="7" spans="1:10">
      <c r="A7" t="s">
        <v>253</v>
      </c>
      <c r="B7" t="s">
        <v>254</v>
      </c>
      <c r="C7" t="s">
        <v>255</v>
      </c>
      <c r="D7" t="s">
        <v>237</v>
      </c>
      <c r="E7" t="s">
        <v>8</v>
      </c>
      <c r="F7" t="s">
        <v>238</v>
      </c>
      <c r="G7" t="s">
        <v>256</v>
      </c>
      <c r="H7">
        <v>7</v>
      </c>
      <c r="I7">
        <v>4772.29</v>
      </c>
      <c r="J7">
        <v>33406.03</v>
      </c>
    </row>
    <row r="8" spans="1:10">
      <c r="A8" s="26">
        <v>44931</v>
      </c>
      <c r="B8" t="s">
        <v>257</v>
      </c>
      <c r="C8" t="s">
        <v>258</v>
      </c>
      <c r="D8" t="s">
        <v>242</v>
      </c>
      <c r="E8" t="s">
        <v>8</v>
      </c>
      <c r="F8" t="s">
        <v>259</v>
      </c>
      <c r="G8" t="s">
        <v>179</v>
      </c>
      <c r="H8">
        <v>5</v>
      </c>
      <c r="I8">
        <v>2196.9899999999998</v>
      </c>
      <c r="J8">
        <v>10984.95</v>
      </c>
    </row>
    <row r="9" spans="1:10">
      <c r="A9" t="s">
        <v>253</v>
      </c>
      <c r="B9" t="s">
        <v>260</v>
      </c>
      <c r="C9" t="s">
        <v>261</v>
      </c>
      <c r="D9" t="s">
        <v>247</v>
      </c>
      <c r="E9" t="s">
        <v>6</v>
      </c>
      <c r="F9" t="s">
        <v>245</v>
      </c>
      <c r="G9" t="s">
        <v>246</v>
      </c>
      <c r="H9">
        <v>5</v>
      </c>
      <c r="I9">
        <v>967.6</v>
      </c>
      <c r="J9">
        <v>4838</v>
      </c>
    </row>
    <row r="10" spans="1:10">
      <c r="A10" t="s">
        <v>262</v>
      </c>
      <c r="B10" t="s">
        <v>235</v>
      </c>
      <c r="C10" t="s">
        <v>244</v>
      </c>
      <c r="D10" t="s">
        <v>237</v>
      </c>
      <c r="E10" t="s">
        <v>8</v>
      </c>
      <c r="F10" t="s">
        <v>238</v>
      </c>
      <c r="G10" t="s">
        <v>239</v>
      </c>
      <c r="H10">
        <v>18</v>
      </c>
      <c r="I10">
        <v>3128.59</v>
      </c>
      <c r="J10">
        <v>56314.62</v>
      </c>
    </row>
    <row r="11" spans="1:10">
      <c r="A11" t="s">
        <v>263</v>
      </c>
      <c r="B11" t="s">
        <v>240</v>
      </c>
      <c r="C11" t="s">
        <v>255</v>
      </c>
      <c r="D11" t="s">
        <v>237</v>
      </c>
      <c r="E11" t="s">
        <v>8</v>
      </c>
      <c r="F11" t="s">
        <v>233</v>
      </c>
      <c r="G11" t="s">
        <v>234</v>
      </c>
      <c r="H11">
        <v>10</v>
      </c>
      <c r="I11">
        <v>2754.3</v>
      </c>
      <c r="J11">
        <v>27543</v>
      </c>
    </row>
    <row r="12" spans="1:10">
      <c r="A12" t="s">
        <v>264</v>
      </c>
      <c r="B12" t="s">
        <v>235</v>
      </c>
      <c r="C12" t="s">
        <v>261</v>
      </c>
      <c r="D12" t="s">
        <v>247</v>
      </c>
      <c r="E12" t="s">
        <v>6</v>
      </c>
      <c r="F12" t="s">
        <v>259</v>
      </c>
      <c r="G12" t="s">
        <v>182</v>
      </c>
      <c r="H12">
        <v>19</v>
      </c>
      <c r="I12">
        <v>4896.3100000000004</v>
      </c>
      <c r="J12">
        <v>93029.89</v>
      </c>
    </row>
    <row r="13" spans="1:10">
      <c r="A13" t="s">
        <v>265</v>
      </c>
      <c r="B13" t="s">
        <v>257</v>
      </c>
      <c r="C13" t="s">
        <v>258</v>
      </c>
      <c r="D13" t="s">
        <v>242</v>
      </c>
      <c r="E13" t="s">
        <v>8</v>
      </c>
      <c r="F13" t="s">
        <v>245</v>
      </c>
      <c r="G13" t="s">
        <v>266</v>
      </c>
      <c r="H13">
        <v>19</v>
      </c>
      <c r="I13">
        <v>4562.0200000000004</v>
      </c>
      <c r="J13">
        <v>86678.38</v>
      </c>
    </row>
    <row r="14" spans="1:10">
      <c r="A14" s="26">
        <v>45261</v>
      </c>
      <c r="B14" t="s">
        <v>254</v>
      </c>
      <c r="C14" t="s">
        <v>249</v>
      </c>
      <c r="D14" t="s">
        <v>232</v>
      </c>
      <c r="E14" t="s">
        <v>6</v>
      </c>
      <c r="F14" t="s">
        <v>238</v>
      </c>
      <c r="G14" t="s">
        <v>256</v>
      </c>
      <c r="H14">
        <v>6</v>
      </c>
      <c r="I14">
        <v>4231.7700000000004</v>
      </c>
      <c r="J14">
        <v>25390.62</v>
      </c>
    </row>
    <row r="15" spans="1:10">
      <c r="A15" t="s">
        <v>267</v>
      </c>
      <c r="B15" t="s">
        <v>268</v>
      </c>
      <c r="C15" t="s">
        <v>261</v>
      </c>
      <c r="D15" t="s">
        <v>247</v>
      </c>
      <c r="E15" t="s">
        <v>6</v>
      </c>
      <c r="F15" t="s">
        <v>245</v>
      </c>
      <c r="G15" t="s">
        <v>269</v>
      </c>
      <c r="H15">
        <v>20</v>
      </c>
      <c r="I15">
        <v>1027.53</v>
      </c>
      <c r="J15">
        <v>20550.599999999999</v>
      </c>
    </row>
    <row r="16" spans="1:10">
      <c r="A16" t="s">
        <v>270</v>
      </c>
      <c r="B16" t="s">
        <v>271</v>
      </c>
      <c r="C16" t="s">
        <v>231</v>
      </c>
      <c r="D16" t="s">
        <v>232</v>
      </c>
      <c r="E16" t="s">
        <v>6</v>
      </c>
      <c r="F16" t="s">
        <v>245</v>
      </c>
      <c r="G16" t="s">
        <v>266</v>
      </c>
      <c r="H16">
        <v>7</v>
      </c>
      <c r="I16">
        <v>1257.3399999999999</v>
      </c>
      <c r="J16">
        <v>8801.3799999999992</v>
      </c>
    </row>
    <row r="17" spans="1:10">
      <c r="A17" t="s">
        <v>272</v>
      </c>
      <c r="B17" t="s">
        <v>257</v>
      </c>
      <c r="C17" t="s">
        <v>273</v>
      </c>
      <c r="D17" t="s">
        <v>252</v>
      </c>
      <c r="E17" t="s">
        <v>5</v>
      </c>
      <c r="F17" t="s">
        <v>245</v>
      </c>
      <c r="G17" t="s">
        <v>269</v>
      </c>
      <c r="H17">
        <v>9</v>
      </c>
      <c r="I17">
        <v>2634.14</v>
      </c>
      <c r="J17">
        <v>23707.26</v>
      </c>
    </row>
    <row r="18" spans="1:10">
      <c r="A18" s="26">
        <v>44963</v>
      </c>
      <c r="B18" t="s">
        <v>248</v>
      </c>
      <c r="C18" t="s">
        <v>274</v>
      </c>
      <c r="D18" t="s">
        <v>232</v>
      </c>
      <c r="E18" t="s">
        <v>6</v>
      </c>
      <c r="F18" t="s">
        <v>233</v>
      </c>
      <c r="G18" t="s">
        <v>234</v>
      </c>
      <c r="H18">
        <v>11</v>
      </c>
      <c r="I18">
        <v>4509.49</v>
      </c>
      <c r="J18">
        <v>49604.39</v>
      </c>
    </row>
    <row r="19" spans="1:10">
      <c r="A19" t="s">
        <v>275</v>
      </c>
      <c r="B19" t="s">
        <v>254</v>
      </c>
      <c r="C19" t="s">
        <v>276</v>
      </c>
      <c r="D19" t="s">
        <v>247</v>
      </c>
      <c r="E19" t="s">
        <v>6</v>
      </c>
      <c r="F19" t="s">
        <v>250</v>
      </c>
      <c r="G19" t="s">
        <v>277</v>
      </c>
      <c r="H19">
        <v>3</v>
      </c>
      <c r="I19">
        <v>2738.83</v>
      </c>
      <c r="J19">
        <v>8216.49</v>
      </c>
    </row>
    <row r="20" spans="1:10">
      <c r="A20" t="s">
        <v>278</v>
      </c>
      <c r="B20" t="s">
        <v>254</v>
      </c>
      <c r="C20" t="s">
        <v>231</v>
      </c>
      <c r="D20" t="s">
        <v>232</v>
      </c>
      <c r="E20" t="s">
        <v>6</v>
      </c>
      <c r="F20" t="s">
        <v>245</v>
      </c>
      <c r="G20" t="s">
        <v>246</v>
      </c>
      <c r="H20">
        <v>10</v>
      </c>
      <c r="I20">
        <v>4247.74</v>
      </c>
      <c r="J20">
        <v>42477.4</v>
      </c>
    </row>
    <row r="21" spans="1:10">
      <c r="A21" t="s">
        <v>264</v>
      </c>
      <c r="B21" t="s">
        <v>240</v>
      </c>
      <c r="C21" t="s">
        <v>258</v>
      </c>
      <c r="D21" t="s">
        <v>242</v>
      </c>
      <c r="E21" t="s">
        <v>8</v>
      </c>
      <c r="F21" t="s">
        <v>238</v>
      </c>
      <c r="G21" t="s">
        <v>256</v>
      </c>
      <c r="H21">
        <v>3</v>
      </c>
      <c r="I21">
        <v>1133.19</v>
      </c>
      <c r="J21">
        <v>3399.57</v>
      </c>
    </row>
    <row r="22" spans="1:10">
      <c r="A22" t="s">
        <v>279</v>
      </c>
      <c r="B22" t="s">
        <v>280</v>
      </c>
      <c r="C22" t="s">
        <v>281</v>
      </c>
      <c r="D22" t="s">
        <v>252</v>
      </c>
      <c r="E22" t="s">
        <v>5</v>
      </c>
      <c r="F22" t="s">
        <v>259</v>
      </c>
      <c r="G22" t="s">
        <v>182</v>
      </c>
      <c r="H22">
        <v>6</v>
      </c>
      <c r="I22">
        <v>623.22</v>
      </c>
      <c r="J22">
        <v>3739.32</v>
      </c>
    </row>
    <row r="23" spans="1:10">
      <c r="A23" t="s">
        <v>282</v>
      </c>
      <c r="B23" t="s">
        <v>248</v>
      </c>
      <c r="C23" t="s">
        <v>236</v>
      </c>
      <c r="D23" t="s">
        <v>237</v>
      </c>
      <c r="E23" t="s">
        <v>8</v>
      </c>
      <c r="F23" t="s">
        <v>238</v>
      </c>
      <c r="G23" t="s">
        <v>239</v>
      </c>
      <c r="H23">
        <v>18</v>
      </c>
      <c r="I23">
        <v>698.42</v>
      </c>
      <c r="J23">
        <v>12571.56</v>
      </c>
    </row>
    <row r="24" spans="1:10">
      <c r="A24" s="26">
        <v>45089</v>
      </c>
      <c r="B24" t="s">
        <v>260</v>
      </c>
      <c r="C24" t="s">
        <v>283</v>
      </c>
      <c r="D24" t="s">
        <v>242</v>
      </c>
      <c r="E24" t="s">
        <v>8</v>
      </c>
      <c r="F24" t="s">
        <v>250</v>
      </c>
      <c r="G24" t="s">
        <v>284</v>
      </c>
      <c r="H24">
        <v>19</v>
      </c>
      <c r="I24">
        <v>2494.11</v>
      </c>
      <c r="J24">
        <v>47388.09</v>
      </c>
    </row>
    <row r="25" spans="1:10">
      <c r="A25" t="s">
        <v>285</v>
      </c>
      <c r="B25" t="s">
        <v>257</v>
      </c>
      <c r="C25" t="s">
        <v>255</v>
      </c>
      <c r="D25" t="s">
        <v>237</v>
      </c>
      <c r="E25" t="s">
        <v>8</v>
      </c>
      <c r="F25" t="s">
        <v>250</v>
      </c>
      <c r="G25" t="s">
        <v>284</v>
      </c>
      <c r="H25">
        <v>15</v>
      </c>
      <c r="I25">
        <v>3368.77</v>
      </c>
      <c r="J25">
        <v>50531.55</v>
      </c>
    </row>
    <row r="26" spans="1:10">
      <c r="A26" t="s">
        <v>286</v>
      </c>
      <c r="B26" t="s">
        <v>240</v>
      </c>
      <c r="C26" t="s">
        <v>258</v>
      </c>
      <c r="D26" t="s">
        <v>242</v>
      </c>
      <c r="E26" t="s">
        <v>8</v>
      </c>
      <c r="F26" t="s">
        <v>233</v>
      </c>
      <c r="G26" t="s">
        <v>287</v>
      </c>
      <c r="H26">
        <v>2</v>
      </c>
      <c r="I26">
        <v>962.28</v>
      </c>
      <c r="J26">
        <v>1924.56</v>
      </c>
    </row>
    <row r="27" spans="1:10">
      <c r="A27" s="26">
        <v>44930</v>
      </c>
      <c r="B27" t="s">
        <v>280</v>
      </c>
      <c r="C27" t="s">
        <v>274</v>
      </c>
      <c r="D27" t="s">
        <v>232</v>
      </c>
      <c r="E27" t="s">
        <v>6</v>
      </c>
      <c r="F27" t="s">
        <v>245</v>
      </c>
      <c r="G27" t="s">
        <v>269</v>
      </c>
      <c r="H27">
        <v>19</v>
      </c>
      <c r="I27">
        <v>1065.27</v>
      </c>
      <c r="J27">
        <v>20240.13</v>
      </c>
    </row>
    <row r="28" spans="1:10">
      <c r="A28" t="s">
        <v>288</v>
      </c>
      <c r="B28" t="s">
        <v>280</v>
      </c>
      <c r="C28" t="s">
        <v>261</v>
      </c>
      <c r="D28" t="s">
        <v>247</v>
      </c>
      <c r="E28" t="s">
        <v>6</v>
      </c>
      <c r="F28" t="s">
        <v>250</v>
      </c>
      <c r="G28" t="s">
        <v>277</v>
      </c>
      <c r="H28">
        <v>10</v>
      </c>
      <c r="I28">
        <v>4507.62</v>
      </c>
      <c r="J28">
        <v>45076.2</v>
      </c>
    </row>
    <row r="29" spans="1:10">
      <c r="A29" t="s">
        <v>289</v>
      </c>
      <c r="B29" t="s">
        <v>248</v>
      </c>
      <c r="C29" t="s">
        <v>281</v>
      </c>
      <c r="D29" t="s">
        <v>252</v>
      </c>
      <c r="E29" t="s">
        <v>5</v>
      </c>
      <c r="F29" t="s">
        <v>245</v>
      </c>
      <c r="G29" t="s">
        <v>266</v>
      </c>
      <c r="H29">
        <v>4</v>
      </c>
      <c r="I29">
        <v>4373.75</v>
      </c>
      <c r="J29">
        <v>17495</v>
      </c>
    </row>
    <row r="30" spans="1:10">
      <c r="A30" t="s">
        <v>290</v>
      </c>
      <c r="B30" t="s">
        <v>268</v>
      </c>
      <c r="C30" t="s">
        <v>236</v>
      </c>
      <c r="D30" t="s">
        <v>237</v>
      </c>
      <c r="E30" t="s">
        <v>8</v>
      </c>
      <c r="F30" t="s">
        <v>245</v>
      </c>
      <c r="G30" t="s">
        <v>266</v>
      </c>
      <c r="H30">
        <v>4</v>
      </c>
      <c r="I30">
        <v>791.28</v>
      </c>
      <c r="J30">
        <v>3165.12</v>
      </c>
    </row>
    <row r="31" spans="1:10">
      <c r="A31" s="26">
        <v>45082</v>
      </c>
      <c r="B31" t="s">
        <v>260</v>
      </c>
      <c r="C31" t="s">
        <v>258</v>
      </c>
      <c r="D31" t="s">
        <v>242</v>
      </c>
      <c r="E31" t="s">
        <v>8</v>
      </c>
      <c r="F31" t="s">
        <v>250</v>
      </c>
      <c r="G31" t="s">
        <v>251</v>
      </c>
      <c r="H31">
        <v>14</v>
      </c>
      <c r="I31">
        <v>4868.33</v>
      </c>
      <c r="J31">
        <v>68156.62</v>
      </c>
    </row>
    <row r="32" spans="1:10">
      <c r="A32" t="s">
        <v>272</v>
      </c>
      <c r="B32" t="s">
        <v>257</v>
      </c>
      <c r="C32" t="s">
        <v>273</v>
      </c>
      <c r="D32" t="s">
        <v>252</v>
      </c>
      <c r="E32" t="s">
        <v>5</v>
      </c>
      <c r="F32" t="s">
        <v>245</v>
      </c>
      <c r="G32" t="s">
        <v>269</v>
      </c>
      <c r="H32">
        <v>12</v>
      </c>
      <c r="I32">
        <v>1958.77</v>
      </c>
      <c r="J32">
        <v>23505.24</v>
      </c>
    </row>
    <row r="33" spans="1:10">
      <c r="A33" t="s">
        <v>291</v>
      </c>
      <c r="B33" t="s">
        <v>240</v>
      </c>
      <c r="C33" t="s">
        <v>274</v>
      </c>
      <c r="D33" t="s">
        <v>232</v>
      </c>
      <c r="E33" t="s">
        <v>6</v>
      </c>
      <c r="F33" t="s">
        <v>238</v>
      </c>
      <c r="G33" t="s">
        <v>256</v>
      </c>
      <c r="H33">
        <v>10</v>
      </c>
      <c r="I33">
        <v>3690.75</v>
      </c>
      <c r="J33">
        <v>36907.5</v>
      </c>
    </row>
    <row r="34" spans="1:10">
      <c r="A34" t="s">
        <v>292</v>
      </c>
      <c r="B34" t="s">
        <v>240</v>
      </c>
      <c r="C34" t="s">
        <v>261</v>
      </c>
      <c r="D34" t="s">
        <v>247</v>
      </c>
      <c r="E34" t="s">
        <v>6</v>
      </c>
      <c r="F34" t="s">
        <v>238</v>
      </c>
      <c r="G34" t="s">
        <v>256</v>
      </c>
      <c r="H34">
        <v>17</v>
      </c>
      <c r="I34">
        <v>1037.05</v>
      </c>
      <c r="J34">
        <v>17629.849999999999</v>
      </c>
    </row>
    <row r="35" spans="1:10">
      <c r="A35" s="26">
        <v>45231</v>
      </c>
      <c r="B35" t="s">
        <v>271</v>
      </c>
      <c r="C35" t="s">
        <v>283</v>
      </c>
      <c r="D35" t="s">
        <v>242</v>
      </c>
      <c r="E35" t="s">
        <v>8</v>
      </c>
      <c r="F35" t="s">
        <v>250</v>
      </c>
      <c r="G35" t="s">
        <v>293</v>
      </c>
      <c r="H35">
        <v>17</v>
      </c>
      <c r="I35">
        <v>2215.5500000000002</v>
      </c>
      <c r="J35">
        <v>37664.35</v>
      </c>
    </row>
    <row r="36" spans="1:10">
      <c r="A36" t="s">
        <v>294</v>
      </c>
      <c r="B36" t="s">
        <v>271</v>
      </c>
      <c r="C36" t="s">
        <v>244</v>
      </c>
      <c r="D36" t="s">
        <v>237</v>
      </c>
      <c r="E36" t="s">
        <v>8</v>
      </c>
      <c r="F36" t="s">
        <v>245</v>
      </c>
      <c r="G36" t="s">
        <v>295</v>
      </c>
      <c r="H36">
        <v>19</v>
      </c>
      <c r="I36">
        <v>1343.6</v>
      </c>
      <c r="J36">
        <v>25528.400000000001</v>
      </c>
    </row>
    <row r="37" spans="1:10">
      <c r="A37" s="26">
        <v>45204</v>
      </c>
      <c r="B37" t="s">
        <v>271</v>
      </c>
      <c r="C37" t="s">
        <v>231</v>
      </c>
      <c r="D37" t="s">
        <v>232</v>
      </c>
      <c r="E37" t="s">
        <v>6</v>
      </c>
      <c r="F37" t="s">
        <v>250</v>
      </c>
      <c r="G37" t="s">
        <v>251</v>
      </c>
      <c r="H37">
        <v>8</v>
      </c>
      <c r="I37">
        <v>4455.43</v>
      </c>
      <c r="J37">
        <v>35643.440000000002</v>
      </c>
    </row>
    <row r="38" spans="1:10">
      <c r="A38" t="s">
        <v>297</v>
      </c>
      <c r="B38" t="s">
        <v>260</v>
      </c>
      <c r="C38" t="s">
        <v>255</v>
      </c>
      <c r="D38" t="s">
        <v>237</v>
      </c>
      <c r="E38" t="s">
        <v>8</v>
      </c>
      <c r="F38" t="s">
        <v>238</v>
      </c>
      <c r="G38" t="s">
        <v>296</v>
      </c>
      <c r="H38">
        <v>9</v>
      </c>
      <c r="I38">
        <v>3892.79</v>
      </c>
      <c r="J38">
        <v>35035.11</v>
      </c>
    </row>
    <row r="39" spans="1:10">
      <c r="A39" s="26">
        <v>45089</v>
      </c>
      <c r="B39" t="s">
        <v>260</v>
      </c>
      <c r="C39" t="s">
        <v>281</v>
      </c>
      <c r="D39" t="s">
        <v>252</v>
      </c>
      <c r="E39" t="s">
        <v>5</v>
      </c>
      <c r="F39" t="s">
        <v>259</v>
      </c>
      <c r="G39" t="s">
        <v>182</v>
      </c>
      <c r="H39">
        <v>9</v>
      </c>
      <c r="I39">
        <v>4618.59</v>
      </c>
      <c r="J39">
        <v>41567.31</v>
      </c>
    </row>
    <row r="40" spans="1:10">
      <c r="A40" t="s">
        <v>300</v>
      </c>
      <c r="B40" t="s">
        <v>268</v>
      </c>
      <c r="C40" t="s">
        <v>283</v>
      </c>
      <c r="D40" t="s">
        <v>242</v>
      </c>
      <c r="E40" t="s">
        <v>8</v>
      </c>
      <c r="F40" t="s">
        <v>245</v>
      </c>
      <c r="G40" t="s">
        <v>295</v>
      </c>
      <c r="H40">
        <v>11</v>
      </c>
      <c r="I40">
        <v>3385.93</v>
      </c>
      <c r="J40">
        <v>37245.230000000003</v>
      </c>
    </row>
    <row r="41" spans="1:10">
      <c r="A41" t="s">
        <v>302</v>
      </c>
      <c r="B41" t="s">
        <v>260</v>
      </c>
      <c r="C41" t="s">
        <v>261</v>
      </c>
      <c r="D41" t="s">
        <v>247</v>
      </c>
      <c r="E41" t="s">
        <v>6</v>
      </c>
      <c r="F41" t="s">
        <v>238</v>
      </c>
      <c r="G41" t="s">
        <v>256</v>
      </c>
      <c r="H41">
        <v>14</v>
      </c>
      <c r="I41">
        <v>2452.98</v>
      </c>
      <c r="J41">
        <v>34341.72</v>
      </c>
    </row>
    <row r="42" spans="1:10">
      <c r="A42" s="26">
        <v>45024</v>
      </c>
      <c r="B42" t="s">
        <v>230</v>
      </c>
      <c r="C42" t="s">
        <v>241</v>
      </c>
      <c r="D42" t="s">
        <v>242</v>
      </c>
      <c r="E42" t="s">
        <v>8</v>
      </c>
      <c r="F42" t="s">
        <v>259</v>
      </c>
      <c r="G42" t="s">
        <v>179</v>
      </c>
      <c r="H42">
        <v>16</v>
      </c>
      <c r="I42">
        <v>695.96</v>
      </c>
      <c r="J42">
        <v>11135.36</v>
      </c>
    </row>
    <row r="43" spans="1:10">
      <c r="A43" s="26">
        <v>44929</v>
      </c>
      <c r="B43" t="s">
        <v>248</v>
      </c>
      <c r="C43" t="s">
        <v>261</v>
      </c>
      <c r="D43" t="s">
        <v>247</v>
      </c>
      <c r="E43" t="s">
        <v>6</v>
      </c>
      <c r="F43" t="s">
        <v>259</v>
      </c>
      <c r="G43" t="s">
        <v>298</v>
      </c>
      <c r="H43">
        <v>1</v>
      </c>
      <c r="I43">
        <v>1979.54</v>
      </c>
      <c r="J43">
        <v>1979.54</v>
      </c>
    </row>
    <row r="44" spans="1:10">
      <c r="A44" t="s">
        <v>305</v>
      </c>
      <c r="B44" t="s">
        <v>257</v>
      </c>
      <c r="C44" t="s">
        <v>281</v>
      </c>
      <c r="D44" t="s">
        <v>252</v>
      </c>
      <c r="E44" t="s">
        <v>5</v>
      </c>
      <c r="F44" t="s">
        <v>238</v>
      </c>
      <c r="G44" t="s">
        <v>239</v>
      </c>
      <c r="H44">
        <v>9</v>
      </c>
      <c r="I44">
        <v>3727.82</v>
      </c>
      <c r="J44">
        <v>33550.379999999997</v>
      </c>
    </row>
    <row r="45" spans="1:10">
      <c r="A45" t="s">
        <v>306</v>
      </c>
      <c r="B45" t="s">
        <v>230</v>
      </c>
      <c r="C45" t="s">
        <v>276</v>
      </c>
      <c r="D45" t="s">
        <v>247</v>
      </c>
      <c r="E45" t="s">
        <v>6</v>
      </c>
      <c r="F45" t="s">
        <v>250</v>
      </c>
      <c r="G45" t="s">
        <v>293</v>
      </c>
      <c r="H45">
        <v>1</v>
      </c>
      <c r="I45">
        <v>1495.61</v>
      </c>
      <c r="J45">
        <v>1495.61</v>
      </c>
    </row>
    <row r="46" spans="1:10">
      <c r="A46" t="s">
        <v>307</v>
      </c>
      <c r="B46" t="s">
        <v>268</v>
      </c>
      <c r="C46" t="s">
        <v>249</v>
      </c>
      <c r="D46" t="s">
        <v>232</v>
      </c>
      <c r="E46" t="s">
        <v>6</v>
      </c>
      <c r="F46" t="s">
        <v>245</v>
      </c>
      <c r="G46" t="s">
        <v>266</v>
      </c>
      <c r="H46">
        <v>18</v>
      </c>
      <c r="I46">
        <v>1928.15</v>
      </c>
      <c r="J46">
        <v>34706.699999999997</v>
      </c>
    </row>
    <row r="47" spans="1:10">
      <c r="A47" s="26">
        <v>45019</v>
      </c>
      <c r="B47" t="s">
        <v>254</v>
      </c>
      <c r="C47" t="s">
        <v>249</v>
      </c>
      <c r="D47" t="s">
        <v>232</v>
      </c>
      <c r="E47" t="s">
        <v>6</v>
      </c>
      <c r="F47" t="s">
        <v>238</v>
      </c>
      <c r="G47" t="s">
        <v>256</v>
      </c>
      <c r="H47">
        <v>1</v>
      </c>
      <c r="I47">
        <v>4192.3900000000003</v>
      </c>
      <c r="J47">
        <v>4192.3900000000003</v>
      </c>
    </row>
    <row r="48" spans="1:10">
      <c r="A48" s="26">
        <v>45018</v>
      </c>
      <c r="B48" t="s">
        <v>268</v>
      </c>
      <c r="C48" t="s">
        <v>255</v>
      </c>
      <c r="D48" t="s">
        <v>237</v>
      </c>
      <c r="E48" t="s">
        <v>8</v>
      </c>
      <c r="F48" t="s">
        <v>259</v>
      </c>
      <c r="G48" t="s">
        <v>299</v>
      </c>
      <c r="H48">
        <v>7</v>
      </c>
      <c r="I48">
        <v>4988.71</v>
      </c>
      <c r="J48">
        <v>34920.97</v>
      </c>
    </row>
    <row r="49" spans="1:10">
      <c r="A49" t="s">
        <v>308</v>
      </c>
      <c r="B49" t="s">
        <v>260</v>
      </c>
      <c r="C49" t="s">
        <v>283</v>
      </c>
      <c r="D49" t="s">
        <v>242</v>
      </c>
      <c r="E49" t="s">
        <v>8</v>
      </c>
      <c r="F49" t="s">
        <v>245</v>
      </c>
      <c r="G49" t="s">
        <v>266</v>
      </c>
      <c r="H49">
        <v>9</v>
      </c>
      <c r="I49">
        <v>1328.13</v>
      </c>
      <c r="J49">
        <v>11953.17</v>
      </c>
    </row>
    <row r="50" spans="1:10">
      <c r="A50" t="s">
        <v>309</v>
      </c>
      <c r="B50" t="s">
        <v>268</v>
      </c>
      <c r="C50" t="s">
        <v>274</v>
      </c>
      <c r="D50" t="s">
        <v>232</v>
      </c>
      <c r="E50" t="s">
        <v>6</v>
      </c>
      <c r="F50" t="s">
        <v>233</v>
      </c>
      <c r="G50" t="s">
        <v>301</v>
      </c>
      <c r="H50">
        <v>9</v>
      </c>
      <c r="I50">
        <v>722.44</v>
      </c>
      <c r="J50">
        <v>6501.96</v>
      </c>
    </row>
    <row r="51" spans="1:10">
      <c r="A51" t="s">
        <v>310</v>
      </c>
      <c r="B51" t="s">
        <v>240</v>
      </c>
      <c r="C51" t="s">
        <v>231</v>
      </c>
      <c r="D51" t="s">
        <v>232</v>
      </c>
      <c r="E51" t="s">
        <v>6</v>
      </c>
      <c r="F51" t="s">
        <v>245</v>
      </c>
      <c r="G51" t="s">
        <v>266</v>
      </c>
      <c r="H51">
        <v>2</v>
      </c>
      <c r="I51">
        <v>4726.0600000000004</v>
      </c>
      <c r="J51">
        <v>9452.1200000000008</v>
      </c>
    </row>
    <row r="52" spans="1:10">
      <c r="A52" s="26">
        <v>45079</v>
      </c>
      <c r="B52" t="s">
        <v>260</v>
      </c>
      <c r="C52" t="s">
        <v>241</v>
      </c>
      <c r="D52" t="s">
        <v>242</v>
      </c>
      <c r="E52" t="s">
        <v>8</v>
      </c>
      <c r="F52" t="s">
        <v>245</v>
      </c>
      <c r="G52" t="s">
        <v>269</v>
      </c>
      <c r="H52">
        <v>3</v>
      </c>
      <c r="I52">
        <v>2263.4699999999998</v>
      </c>
      <c r="J52">
        <v>6790.41</v>
      </c>
    </row>
    <row r="53" spans="1:10">
      <c r="A53" t="s">
        <v>311</v>
      </c>
      <c r="B53" t="s">
        <v>240</v>
      </c>
      <c r="C53" t="s">
        <v>258</v>
      </c>
      <c r="D53" t="s">
        <v>242</v>
      </c>
      <c r="E53" t="s">
        <v>8</v>
      </c>
      <c r="F53" t="s">
        <v>233</v>
      </c>
      <c r="G53" t="s">
        <v>287</v>
      </c>
      <c r="H53">
        <v>20</v>
      </c>
      <c r="I53">
        <v>4365.58</v>
      </c>
      <c r="J53">
        <v>87311.6</v>
      </c>
    </row>
    <row r="54" spans="1:10">
      <c r="A54" t="s">
        <v>312</v>
      </c>
      <c r="B54" t="s">
        <v>271</v>
      </c>
      <c r="C54" t="s">
        <v>313</v>
      </c>
      <c r="D54" t="s">
        <v>252</v>
      </c>
      <c r="E54" t="s">
        <v>5</v>
      </c>
      <c r="F54" t="s">
        <v>259</v>
      </c>
      <c r="G54" t="s">
        <v>179</v>
      </c>
      <c r="H54">
        <v>20</v>
      </c>
      <c r="I54">
        <v>3925.65</v>
      </c>
      <c r="J54">
        <v>78513</v>
      </c>
    </row>
    <row r="55" spans="1:10">
      <c r="A55" s="26">
        <v>44995</v>
      </c>
      <c r="B55" t="s">
        <v>235</v>
      </c>
      <c r="C55" t="s">
        <v>255</v>
      </c>
      <c r="D55" t="s">
        <v>237</v>
      </c>
      <c r="E55" t="s">
        <v>8</v>
      </c>
      <c r="F55" t="s">
        <v>233</v>
      </c>
      <c r="G55" t="s">
        <v>301</v>
      </c>
      <c r="H55">
        <v>3</v>
      </c>
      <c r="I55">
        <v>3613.98</v>
      </c>
      <c r="J55">
        <v>10841.94</v>
      </c>
    </row>
    <row r="56" spans="1:10">
      <c r="A56" s="26">
        <v>45236</v>
      </c>
      <c r="B56" t="s">
        <v>268</v>
      </c>
      <c r="C56" t="s">
        <v>249</v>
      </c>
      <c r="D56" t="s">
        <v>232</v>
      </c>
      <c r="E56" t="s">
        <v>6</v>
      </c>
      <c r="F56" t="s">
        <v>238</v>
      </c>
      <c r="G56" t="s">
        <v>296</v>
      </c>
      <c r="H56">
        <v>7</v>
      </c>
      <c r="I56">
        <v>2483.54</v>
      </c>
      <c r="J56">
        <v>17384.78</v>
      </c>
    </row>
    <row r="57" spans="1:10">
      <c r="A57" s="26">
        <v>44967</v>
      </c>
      <c r="B57" t="s">
        <v>254</v>
      </c>
      <c r="C57" t="s">
        <v>273</v>
      </c>
      <c r="D57" t="s">
        <v>252</v>
      </c>
      <c r="E57" t="s">
        <v>5</v>
      </c>
      <c r="F57" t="s">
        <v>233</v>
      </c>
      <c r="G57" t="s">
        <v>301</v>
      </c>
      <c r="H57">
        <v>14</v>
      </c>
      <c r="I57">
        <v>2145.21</v>
      </c>
      <c r="J57">
        <v>30032.94</v>
      </c>
    </row>
    <row r="58" spans="1:10">
      <c r="A58" t="s">
        <v>314</v>
      </c>
      <c r="B58" t="s">
        <v>268</v>
      </c>
      <c r="C58" t="s">
        <v>283</v>
      </c>
      <c r="D58" t="s">
        <v>242</v>
      </c>
      <c r="E58" t="s">
        <v>8</v>
      </c>
      <c r="F58" t="s">
        <v>259</v>
      </c>
      <c r="G58" t="s">
        <v>298</v>
      </c>
      <c r="H58">
        <v>8</v>
      </c>
      <c r="I58">
        <v>4997.45</v>
      </c>
      <c r="J58">
        <v>39979.599999999999</v>
      </c>
    </row>
    <row r="59" spans="1:10">
      <c r="A59" s="26">
        <v>45176</v>
      </c>
      <c r="B59" t="s">
        <v>271</v>
      </c>
      <c r="C59" t="s">
        <v>261</v>
      </c>
      <c r="D59" t="s">
        <v>247</v>
      </c>
      <c r="E59" t="s">
        <v>6</v>
      </c>
      <c r="F59" t="s">
        <v>259</v>
      </c>
      <c r="G59" t="s">
        <v>182</v>
      </c>
      <c r="H59">
        <v>3</v>
      </c>
      <c r="I59">
        <v>1753.98</v>
      </c>
      <c r="J59">
        <v>5261.94</v>
      </c>
    </row>
    <row r="60" spans="1:10">
      <c r="A60" t="s">
        <v>315</v>
      </c>
      <c r="B60" t="s">
        <v>257</v>
      </c>
      <c r="C60" t="s">
        <v>258</v>
      </c>
      <c r="D60" t="s">
        <v>242</v>
      </c>
      <c r="E60" t="s">
        <v>8</v>
      </c>
      <c r="F60" t="s">
        <v>259</v>
      </c>
      <c r="G60" t="s">
        <v>298</v>
      </c>
      <c r="H60">
        <v>2</v>
      </c>
      <c r="I60">
        <v>1207.92</v>
      </c>
      <c r="J60">
        <v>2415.84</v>
      </c>
    </row>
    <row r="61" spans="1:10">
      <c r="A61" s="26">
        <v>45202</v>
      </c>
      <c r="B61" t="s">
        <v>248</v>
      </c>
      <c r="C61" t="s">
        <v>274</v>
      </c>
      <c r="D61" t="s">
        <v>232</v>
      </c>
      <c r="E61" t="s">
        <v>6</v>
      </c>
      <c r="F61" t="s">
        <v>259</v>
      </c>
      <c r="G61" t="s">
        <v>299</v>
      </c>
      <c r="H61">
        <v>13</v>
      </c>
      <c r="I61">
        <v>4196.33</v>
      </c>
      <c r="J61">
        <v>54552.29</v>
      </c>
    </row>
    <row r="62" spans="1:10">
      <c r="A62" s="26">
        <v>44990</v>
      </c>
      <c r="B62" t="s">
        <v>280</v>
      </c>
      <c r="C62" t="s">
        <v>316</v>
      </c>
      <c r="D62" t="s">
        <v>247</v>
      </c>
      <c r="E62" t="s">
        <v>6</v>
      </c>
      <c r="F62" t="s">
        <v>238</v>
      </c>
      <c r="G62" t="s">
        <v>239</v>
      </c>
      <c r="H62">
        <v>18</v>
      </c>
      <c r="I62">
        <v>1310.78</v>
      </c>
      <c r="J62">
        <v>23594.04</v>
      </c>
    </row>
    <row r="63" spans="1:10">
      <c r="A63" t="s">
        <v>317</v>
      </c>
      <c r="B63" t="s">
        <v>271</v>
      </c>
      <c r="C63" t="s">
        <v>274</v>
      </c>
      <c r="D63" t="s">
        <v>232</v>
      </c>
      <c r="E63" t="s">
        <v>6</v>
      </c>
      <c r="F63" t="s">
        <v>233</v>
      </c>
      <c r="G63" t="s">
        <v>301</v>
      </c>
      <c r="H63">
        <v>20</v>
      </c>
      <c r="I63">
        <v>2142.9</v>
      </c>
      <c r="J63">
        <v>42858</v>
      </c>
    </row>
    <row r="64" spans="1:10">
      <c r="A64" s="26">
        <v>44997</v>
      </c>
      <c r="B64" t="s">
        <v>280</v>
      </c>
      <c r="C64" t="s">
        <v>313</v>
      </c>
      <c r="D64" t="s">
        <v>252</v>
      </c>
      <c r="E64" t="s">
        <v>5</v>
      </c>
      <c r="F64" t="s">
        <v>259</v>
      </c>
      <c r="G64" t="s">
        <v>299</v>
      </c>
      <c r="H64">
        <v>19</v>
      </c>
      <c r="I64">
        <v>1359.7</v>
      </c>
      <c r="J64">
        <v>25834.3</v>
      </c>
    </row>
    <row r="65" spans="1:10">
      <c r="A65" t="s">
        <v>318</v>
      </c>
      <c r="B65" t="s">
        <v>230</v>
      </c>
      <c r="C65" t="s">
        <v>283</v>
      </c>
      <c r="D65" t="s">
        <v>242</v>
      </c>
      <c r="E65" t="s">
        <v>8</v>
      </c>
      <c r="F65" t="s">
        <v>233</v>
      </c>
      <c r="G65" t="s">
        <v>301</v>
      </c>
      <c r="H65">
        <v>16</v>
      </c>
      <c r="I65">
        <v>4896.07</v>
      </c>
      <c r="J65">
        <v>78337.119999999995</v>
      </c>
    </row>
    <row r="66" spans="1:10">
      <c r="A66" t="s">
        <v>319</v>
      </c>
      <c r="B66" t="s">
        <v>254</v>
      </c>
      <c r="C66" t="s">
        <v>241</v>
      </c>
      <c r="D66" t="s">
        <v>242</v>
      </c>
      <c r="E66" t="s">
        <v>8</v>
      </c>
      <c r="F66" t="s">
        <v>238</v>
      </c>
      <c r="G66" t="s">
        <v>296</v>
      </c>
      <c r="H66">
        <v>8</v>
      </c>
      <c r="I66">
        <v>4216.03</v>
      </c>
      <c r="J66">
        <v>33728.239999999998</v>
      </c>
    </row>
    <row r="67" spans="1:10">
      <c r="A67" s="26">
        <v>45054</v>
      </c>
      <c r="B67" t="s">
        <v>248</v>
      </c>
      <c r="C67" t="s">
        <v>274</v>
      </c>
      <c r="D67" t="s">
        <v>232</v>
      </c>
      <c r="E67" t="s">
        <v>6</v>
      </c>
      <c r="F67" t="s">
        <v>250</v>
      </c>
      <c r="G67" t="s">
        <v>277</v>
      </c>
      <c r="H67">
        <v>14</v>
      </c>
      <c r="I67">
        <v>2134.06</v>
      </c>
      <c r="J67">
        <v>29876.84</v>
      </c>
    </row>
    <row r="68" spans="1:10">
      <c r="A68" t="s">
        <v>320</v>
      </c>
      <c r="B68" t="s">
        <v>280</v>
      </c>
      <c r="C68" t="s">
        <v>273</v>
      </c>
      <c r="D68" t="s">
        <v>252</v>
      </c>
      <c r="E68" t="s">
        <v>5</v>
      </c>
      <c r="F68" t="s">
        <v>233</v>
      </c>
      <c r="G68" t="s">
        <v>287</v>
      </c>
      <c r="H68">
        <v>6</v>
      </c>
      <c r="I68">
        <v>1523.33</v>
      </c>
      <c r="J68">
        <v>9139.98</v>
      </c>
    </row>
    <row r="69" spans="1:10">
      <c r="A69" t="s">
        <v>321</v>
      </c>
      <c r="B69" t="s">
        <v>240</v>
      </c>
      <c r="C69" t="s">
        <v>244</v>
      </c>
      <c r="D69" t="s">
        <v>237</v>
      </c>
      <c r="E69" t="s">
        <v>8</v>
      </c>
      <c r="F69" t="s">
        <v>250</v>
      </c>
      <c r="G69" t="s">
        <v>251</v>
      </c>
      <c r="H69">
        <v>13</v>
      </c>
      <c r="I69">
        <v>646.63</v>
      </c>
      <c r="J69">
        <v>8406.19</v>
      </c>
    </row>
    <row r="70" spans="1:10">
      <c r="A70" t="s">
        <v>305</v>
      </c>
      <c r="B70" t="s">
        <v>257</v>
      </c>
      <c r="C70" t="s">
        <v>283</v>
      </c>
      <c r="D70" t="s">
        <v>242</v>
      </c>
      <c r="E70" t="s">
        <v>8</v>
      </c>
      <c r="F70" t="s">
        <v>238</v>
      </c>
      <c r="G70" t="s">
        <v>303</v>
      </c>
      <c r="H70">
        <v>4</v>
      </c>
      <c r="I70">
        <v>4965.34</v>
      </c>
      <c r="J70">
        <v>19861.36</v>
      </c>
    </row>
    <row r="71" spans="1:10">
      <c r="A71" t="s">
        <v>322</v>
      </c>
      <c r="B71" t="s">
        <v>268</v>
      </c>
      <c r="C71" t="s">
        <v>274</v>
      </c>
      <c r="D71" t="s">
        <v>232</v>
      </c>
      <c r="E71" t="s">
        <v>6</v>
      </c>
      <c r="F71" t="s">
        <v>238</v>
      </c>
      <c r="G71" t="s">
        <v>256</v>
      </c>
      <c r="H71">
        <v>14</v>
      </c>
      <c r="I71">
        <v>2883.11</v>
      </c>
      <c r="J71">
        <v>40363.54</v>
      </c>
    </row>
    <row r="72" spans="1:10">
      <c r="A72" t="s">
        <v>323</v>
      </c>
      <c r="B72" t="s">
        <v>254</v>
      </c>
      <c r="C72" t="s">
        <v>281</v>
      </c>
      <c r="D72" t="s">
        <v>252</v>
      </c>
      <c r="E72" t="s">
        <v>5</v>
      </c>
      <c r="F72" t="s">
        <v>250</v>
      </c>
      <c r="G72" t="s">
        <v>277</v>
      </c>
      <c r="H72">
        <v>9</v>
      </c>
      <c r="I72">
        <v>2819.87</v>
      </c>
      <c r="J72">
        <v>25378.83</v>
      </c>
    </row>
    <row r="73" spans="1:10">
      <c r="A73" t="s">
        <v>263</v>
      </c>
      <c r="B73" t="s">
        <v>248</v>
      </c>
      <c r="C73" t="s">
        <v>249</v>
      </c>
      <c r="D73" t="s">
        <v>232</v>
      </c>
      <c r="E73" t="s">
        <v>6</v>
      </c>
      <c r="F73" t="s">
        <v>245</v>
      </c>
      <c r="G73" t="s">
        <v>246</v>
      </c>
      <c r="H73">
        <v>12</v>
      </c>
      <c r="I73">
        <v>3961.23</v>
      </c>
      <c r="J73">
        <v>47534.76</v>
      </c>
    </row>
    <row r="74" spans="1:10">
      <c r="A74" s="26">
        <v>44960</v>
      </c>
      <c r="B74" t="s">
        <v>257</v>
      </c>
      <c r="C74" t="s">
        <v>244</v>
      </c>
      <c r="D74" t="s">
        <v>237</v>
      </c>
      <c r="E74" t="s">
        <v>8</v>
      </c>
      <c r="F74" t="s">
        <v>245</v>
      </c>
      <c r="G74" t="s">
        <v>246</v>
      </c>
      <c r="H74">
        <v>15</v>
      </c>
      <c r="I74">
        <v>2194.7199999999998</v>
      </c>
      <c r="J74">
        <v>32920.800000000003</v>
      </c>
    </row>
    <row r="75" spans="1:10">
      <c r="A75" t="s">
        <v>324</v>
      </c>
      <c r="B75" t="s">
        <v>254</v>
      </c>
      <c r="C75" t="s">
        <v>258</v>
      </c>
      <c r="D75" t="s">
        <v>242</v>
      </c>
      <c r="E75" t="s">
        <v>8</v>
      </c>
      <c r="F75" t="s">
        <v>259</v>
      </c>
      <c r="G75" t="s">
        <v>298</v>
      </c>
      <c r="H75">
        <v>5</v>
      </c>
      <c r="I75">
        <v>3058.74</v>
      </c>
      <c r="J75">
        <v>15293.7</v>
      </c>
    </row>
    <row r="76" spans="1:10">
      <c r="A76" s="26">
        <v>45211</v>
      </c>
      <c r="B76" t="s">
        <v>260</v>
      </c>
      <c r="C76" t="s">
        <v>249</v>
      </c>
      <c r="D76" t="s">
        <v>232</v>
      </c>
      <c r="E76" t="s">
        <v>6</v>
      </c>
      <c r="F76" t="s">
        <v>245</v>
      </c>
      <c r="G76" t="s">
        <v>246</v>
      </c>
      <c r="H76">
        <v>11</v>
      </c>
      <c r="I76">
        <v>827.59</v>
      </c>
      <c r="J76">
        <v>9103.49</v>
      </c>
    </row>
    <row r="77" spans="1:10">
      <c r="A77" t="s">
        <v>325</v>
      </c>
      <c r="B77" t="s">
        <v>268</v>
      </c>
      <c r="C77" t="s">
        <v>244</v>
      </c>
      <c r="D77" t="s">
        <v>237</v>
      </c>
      <c r="E77" t="s">
        <v>8</v>
      </c>
      <c r="F77" t="s">
        <v>259</v>
      </c>
      <c r="G77" t="s">
        <v>299</v>
      </c>
      <c r="H77">
        <v>10</v>
      </c>
      <c r="I77">
        <v>2008.29</v>
      </c>
      <c r="J77">
        <v>20082.900000000001</v>
      </c>
    </row>
    <row r="78" spans="1:10">
      <c r="A78" t="s">
        <v>275</v>
      </c>
      <c r="B78" t="s">
        <v>260</v>
      </c>
      <c r="C78" t="s">
        <v>276</v>
      </c>
      <c r="D78" t="s">
        <v>247</v>
      </c>
      <c r="E78" t="s">
        <v>6</v>
      </c>
      <c r="F78" t="s">
        <v>245</v>
      </c>
      <c r="G78" t="s">
        <v>266</v>
      </c>
      <c r="H78">
        <v>3</v>
      </c>
      <c r="I78">
        <v>4157.17</v>
      </c>
      <c r="J78">
        <v>12471.51</v>
      </c>
    </row>
    <row r="79" spans="1:10">
      <c r="A79" s="26">
        <v>45109</v>
      </c>
      <c r="B79" t="s">
        <v>248</v>
      </c>
      <c r="C79" t="s">
        <v>283</v>
      </c>
      <c r="D79" t="s">
        <v>242</v>
      </c>
      <c r="E79" t="s">
        <v>8</v>
      </c>
      <c r="F79" t="s">
        <v>233</v>
      </c>
      <c r="G79" t="s">
        <v>304</v>
      </c>
      <c r="H79">
        <v>19</v>
      </c>
      <c r="I79">
        <v>2880.28</v>
      </c>
      <c r="J79">
        <v>54725.32</v>
      </c>
    </row>
    <row r="80" spans="1:10">
      <c r="A80" t="s">
        <v>326</v>
      </c>
      <c r="B80" t="s">
        <v>280</v>
      </c>
      <c r="C80" t="s">
        <v>261</v>
      </c>
      <c r="D80" t="s">
        <v>247</v>
      </c>
      <c r="E80" t="s">
        <v>6</v>
      </c>
      <c r="F80" t="s">
        <v>259</v>
      </c>
      <c r="G80" t="s">
        <v>182</v>
      </c>
      <c r="H80">
        <v>6</v>
      </c>
      <c r="I80">
        <v>1212.76</v>
      </c>
      <c r="J80">
        <v>7276.56</v>
      </c>
    </row>
    <row r="81" spans="1:10">
      <c r="A81" t="s">
        <v>327</v>
      </c>
      <c r="B81" t="s">
        <v>254</v>
      </c>
      <c r="C81" t="s">
        <v>316</v>
      </c>
      <c r="D81" t="s">
        <v>247</v>
      </c>
      <c r="E81" t="s">
        <v>6</v>
      </c>
      <c r="F81" t="s">
        <v>259</v>
      </c>
      <c r="G81" t="s">
        <v>298</v>
      </c>
      <c r="H81">
        <v>11</v>
      </c>
      <c r="I81">
        <v>4463.4799999999996</v>
      </c>
      <c r="J81">
        <v>49098.28</v>
      </c>
    </row>
    <row r="82" spans="1:10">
      <c r="A82" s="26">
        <v>45236</v>
      </c>
      <c r="B82" t="s">
        <v>268</v>
      </c>
      <c r="C82" t="s">
        <v>258</v>
      </c>
      <c r="D82" t="s">
        <v>242</v>
      </c>
      <c r="E82" t="s">
        <v>8</v>
      </c>
      <c r="F82" t="s">
        <v>238</v>
      </c>
      <c r="G82" t="s">
        <v>256</v>
      </c>
      <c r="H82">
        <v>17</v>
      </c>
      <c r="I82">
        <v>3975.74</v>
      </c>
      <c r="J82">
        <v>67587.58</v>
      </c>
    </row>
    <row r="83" spans="1:10">
      <c r="A83" t="s">
        <v>328</v>
      </c>
      <c r="B83" t="s">
        <v>230</v>
      </c>
      <c r="C83" t="s">
        <v>236</v>
      </c>
      <c r="D83" t="s">
        <v>237</v>
      </c>
      <c r="E83" t="s">
        <v>8</v>
      </c>
      <c r="F83" t="s">
        <v>245</v>
      </c>
      <c r="G83" t="s">
        <v>269</v>
      </c>
      <c r="H83">
        <v>15</v>
      </c>
      <c r="I83">
        <v>2158.2199999999998</v>
      </c>
      <c r="J83">
        <v>32373.3</v>
      </c>
    </row>
    <row r="84" spans="1:10">
      <c r="A84" t="s">
        <v>329</v>
      </c>
      <c r="B84" t="s">
        <v>240</v>
      </c>
      <c r="C84" t="s">
        <v>276</v>
      </c>
      <c r="D84" t="s">
        <v>247</v>
      </c>
      <c r="E84" t="s">
        <v>6</v>
      </c>
      <c r="F84" t="s">
        <v>245</v>
      </c>
      <c r="G84" t="s">
        <v>266</v>
      </c>
      <c r="H84">
        <v>17</v>
      </c>
      <c r="I84">
        <v>1720.9</v>
      </c>
      <c r="J84">
        <v>29255.3</v>
      </c>
    </row>
    <row r="85" spans="1:10">
      <c r="A85" t="s">
        <v>330</v>
      </c>
      <c r="B85" t="s">
        <v>260</v>
      </c>
      <c r="C85" t="s">
        <v>249</v>
      </c>
      <c r="D85" t="s">
        <v>232</v>
      </c>
      <c r="E85" t="s">
        <v>6</v>
      </c>
      <c r="F85" t="s">
        <v>245</v>
      </c>
      <c r="G85" t="s">
        <v>246</v>
      </c>
      <c r="H85">
        <v>11</v>
      </c>
      <c r="I85">
        <v>3562.92</v>
      </c>
      <c r="J85">
        <v>39192.120000000003</v>
      </c>
    </row>
    <row r="86" spans="1:10">
      <c r="A86" t="s">
        <v>331</v>
      </c>
      <c r="B86" t="s">
        <v>254</v>
      </c>
      <c r="C86" t="s">
        <v>249</v>
      </c>
      <c r="D86" t="s">
        <v>232</v>
      </c>
      <c r="E86" t="s">
        <v>6</v>
      </c>
      <c r="F86" t="s">
        <v>238</v>
      </c>
      <c r="G86" t="s">
        <v>256</v>
      </c>
      <c r="H86">
        <v>17</v>
      </c>
      <c r="I86">
        <v>608.79</v>
      </c>
      <c r="J86">
        <v>10349.43</v>
      </c>
    </row>
    <row r="87" spans="1:10">
      <c r="A87" t="s">
        <v>308</v>
      </c>
      <c r="B87" t="s">
        <v>257</v>
      </c>
      <c r="C87" t="s">
        <v>261</v>
      </c>
      <c r="D87" t="s">
        <v>247</v>
      </c>
      <c r="E87" t="s">
        <v>6</v>
      </c>
      <c r="F87" t="s">
        <v>250</v>
      </c>
      <c r="G87" t="s">
        <v>251</v>
      </c>
      <c r="H87">
        <v>20</v>
      </c>
      <c r="I87">
        <v>4856.17</v>
      </c>
      <c r="J87">
        <v>97123.4</v>
      </c>
    </row>
    <row r="88" spans="1:10">
      <c r="A88" t="s">
        <v>321</v>
      </c>
      <c r="B88" t="s">
        <v>280</v>
      </c>
      <c r="C88" t="s">
        <v>273</v>
      </c>
      <c r="D88" t="s">
        <v>252</v>
      </c>
      <c r="E88" t="s">
        <v>5</v>
      </c>
      <c r="F88" t="s">
        <v>238</v>
      </c>
      <c r="G88" t="s">
        <v>239</v>
      </c>
      <c r="H88">
        <v>12</v>
      </c>
      <c r="I88">
        <v>4298</v>
      </c>
      <c r="J88">
        <v>51576</v>
      </c>
    </row>
    <row r="89" spans="1:10">
      <c r="A89" s="26">
        <v>45020</v>
      </c>
      <c r="B89" t="s">
        <v>254</v>
      </c>
      <c r="C89" t="s">
        <v>281</v>
      </c>
      <c r="D89" t="s">
        <v>252</v>
      </c>
      <c r="E89" t="s">
        <v>5</v>
      </c>
      <c r="F89" t="s">
        <v>259</v>
      </c>
      <c r="G89" t="s">
        <v>298</v>
      </c>
      <c r="H89">
        <v>7</v>
      </c>
      <c r="I89">
        <v>1160.3499999999999</v>
      </c>
      <c r="J89">
        <v>8122.45</v>
      </c>
    </row>
    <row r="90" spans="1:10">
      <c r="A90" s="26">
        <v>45115</v>
      </c>
      <c r="B90" t="s">
        <v>260</v>
      </c>
      <c r="C90" t="s">
        <v>273</v>
      </c>
      <c r="D90" t="s">
        <v>252</v>
      </c>
      <c r="E90" t="s">
        <v>5</v>
      </c>
      <c r="F90" t="s">
        <v>245</v>
      </c>
      <c r="G90" t="s">
        <v>266</v>
      </c>
      <c r="H90">
        <v>3</v>
      </c>
      <c r="I90">
        <v>2488.34</v>
      </c>
      <c r="J90">
        <v>7465.02</v>
      </c>
    </row>
    <row r="91" spans="1:10">
      <c r="A91" t="s">
        <v>328</v>
      </c>
      <c r="B91" t="s">
        <v>240</v>
      </c>
      <c r="C91" t="s">
        <v>236</v>
      </c>
      <c r="D91" t="s">
        <v>237</v>
      </c>
      <c r="E91" t="s">
        <v>8</v>
      </c>
      <c r="F91" t="s">
        <v>233</v>
      </c>
      <c r="G91" t="s">
        <v>301</v>
      </c>
      <c r="H91">
        <v>8</v>
      </c>
      <c r="I91">
        <v>1990</v>
      </c>
      <c r="J91">
        <v>15920</v>
      </c>
    </row>
    <row r="92" spans="1:10">
      <c r="A92" t="s">
        <v>332</v>
      </c>
      <c r="B92" t="s">
        <v>257</v>
      </c>
      <c r="C92" t="s">
        <v>316</v>
      </c>
      <c r="D92" t="s">
        <v>247</v>
      </c>
      <c r="E92" t="s">
        <v>6</v>
      </c>
      <c r="F92" t="s">
        <v>259</v>
      </c>
      <c r="G92" t="s">
        <v>298</v>
      </c>
      <c r="H92">
        <v>20</v>
      </c>
      <c r="I92">
        <v>2446.21</v>
      </c>
      <c r="J92">
        <v>48924.2</v>
      </c>
    </row>
    <row r="93" spans="1:10">
      <c r="A93" t="s">
        <v>333</v>
      </c>
      <c r="B93" t="s">
        <v>248</v>
      </c>
      <c r="C93" t="s">
        <v>283</v>
      </c>
      <c r="D93" t="s">
        <v>242</v>
      </c>
      <c r="E93" t="s">
        <v>8</v>
      </c>
      <c r="F93" t="s">
        <v>238</v>
      </c>
      <c r="G93" t="s">
        <v>303</v>
      </c>
      <c r="H93">
        <v>11</v>
      </c>
      <c r="I93">
        <v>1841.84</v>
      </c>
      <c r="J93">
        <v>20260.240000000002</v>
      </c>
    </row>
    <row r="94" spans="1:10">
      <c r="A94" s="26">
        <v>44938</v>
      </c>
      <c r="B94" t="s">
        <v>257</v>
      </c>
      <c r="C94" t="s">
        <v>313</v>
      </c>
      <c r="D94" t="s">
        <v>252</v>
      </c>
      <c r="E94" t="s">
        <v>5</v>
      </c>
      <c r="F94" t="s">
        <v>259</v>
      </c>
      <c r="G94" t="s">
        <v>179</v>
      </c>
      <c r="H94">
        <v>5</v>
      </c>
      <c r="I94">
        <v>3289.83</v>
      </c>
      <c r="J94">
        <v>16449.150000000001</v>
      </c>
    </row>
    <row r="95" spans="1:10">
      <c r="A95" t="s">
        <v>334</v>
      </c>
      <c r="B95" t="s">
        <v>260</v>
      </c>
      <c r="C95" t="s">
        <v>249</v>
      </c>
      <c r="D95" t="s">
        <v>232</v>
      </c>
      <c r="E95" t="s">
        <v>6</v>
      </c>
      <c r="F95" t="s">
        <v>250</v>
      </c>
      <c r="G95" t="s">
        <v>284</v>
      </c>
      <c r="H95">
        <v>6</v>
      </c>
      <c r="I95">
        <v>549.79999999999995</v>
      </c>
      <c r="J95">
        <v>3298.8</v>
      </c>
    </row>
    <row r="96" spans="1:10">
      <c r="A96" s="26">
        <v>44987</v>
      </c>
      <c r="B96" t="s">
        <v>268</v>
      </c>
      <c r="C96" t="s">
        <v>244</v>
      </c>
      <c r="D96" t="s">
        <v>237</v>
      </c>
      <c r="E96" t="s">
        <v>8</v>
      </c>
      <c r="F96" t="s">
        <v>259</v>
      </c>
      <c r="G96" t="s">
        <v>179</v>
      </c>
      <c r="H96">
        <v>20</v>
      </c>
      <c r="I96">
        <v>4397.46</v>
      </c>
      <c r="J96">
        <v>87949.2</v>
      </c>
    </row>
    <row r="97" spans="1:10">
      <c r="A97" s="26">
        <v>45235</v>
      </c>
      <c r="B97" t="s">
        <v>260</v>
      </c>
      <c r="C97" t="s">
        <v>241</v>
      </c>
      <c r="D97" t="s">
        <v>242</v>
      </c>
      <c r="E97" t="s">
        <v>8</v>
      </c>
      <c r="F97" t="s">
        <v>250</v>
      </c>
      <c r="G97" t="s">
        <v>251</v>
      </c>
      <c r="H97">
        <v>3</v>
      </c>
      <c r="I97">
        <v>3107.88</v>
      </c>
      <c r="J97">
        <v>9323.64</v>
      </c>
    </row>
    <row r="98" spans="1:10">
      <c r="A98" t="s">
        <v>314</v>
      </c>
      <c r="B98" t="s">
        <v>230</v>
      </c>
      <c r="C98" t="s">
        <v>276</v>
      </c>
      <c r="D98" t="s">
        <v>247</v>
      </c>
      <c r="E98" t="s">
        <v>6</v>
      </c>
      <c r="F98" t="s">
        <v>233</v>
      </c>
      <c r="G98" t="s">
        <v>304</v>
      </c>
      <c r="H98">
        <v>11</v>
      </c>
      <c r="I98">
        <v>1451.86</v>
      </c>
      <c r="J98">
        <v>15970.46</v>
      </c>
    </row>
    <row r="99" spans="1:10">
      <c r="A99" s="26">
        <v>44992</v>
      </c>
      <c r="B99" t="s">
        <v>260</v>
      </c>
      <c r="C99" t="s">
        <v>236</v>
      </c>
      <c r="D99" t="s">
        <v>237</v>
      </c>
      <c r="E99" t="s">
        <v>8</v>
      </c>
      <c r="F99" t="s">
        <v>250</v>
      </c>
      <c r="G99" t="s">
        <v>293</v>
      </c>
      <c r="H99">
        <v>13</v>
      </c>
      <c r="I99">
        <v>4087.03</v>
      </c>
      <c r="J99">
        <v>53131.39</v>
      </c>
    </row>
    <row r="100" spans="1:10">
      <c r="A100" s="26">
        <v>44966</v>
      </c>
      <c r="B100" t="s">
        <v>230</v>
      </c>
      <c r="C100" t="s">
        <v>273</v>
      </c>
      <c r="D100" t="s">
        <v>252</v>
      </c>
      <c r="E100" t="s">
        <v>5</v>
      </c>
      <c r="F100" t="s">
        <v>238</v>
      </c>
      <c r="G100" t="s">
        <v>239</v>
      </c>
      <c r="H100">
        <v>12</v>
      </c>
      <c r="I100">
        <v>3040.08</v>
      </c>
      <c r="J100">
        <v>36480.959999999999</v>
      </c>
    </row>
    <row r="101" spans="1:10">
      <c r="A101" t="s">
        <v>325</v>
      </c>
      <c r="B101" t="s">
        <v>257</v>
      </c>
      <c r="C101" t="s">
        <v>313</v>
      </c>
      <c r="D101" t="s">
        <v>252</v>
      </c>
      <c r="E101" t="s">
        <v>5</v>
      </c>
      <c r="F101" t="s">
        <v>250</v>
      </c>
      <c r="G101" t="s">
        <v>284</v>
      </c>
      <c r="H101">
        <v>19</v>
      </c>
      <c r="I101">
        <v>3968.42</v>
      </c>
      <c r="J101">
        <v>75399.98</v>
      </c>
    </row>
    <row r="102" spans="1:10">
      <c r="A102" t="s">
        <v>335</v>
      </c>
      <c r="B102" t="s">
        <v>280</v>
      </c>
      <c r="C102" t="s">
        <v>258</v>
      </c>
      <c r="D102" t="s">
        <v>242</v>
      </c>
      <c r="E102" t="s">
        <v>8</v>
      </c>
      <c r="F102" t="s">
        <v>259</v>
      </c>
      <c r="G102" t="s">
        <v>182</v>
      </c>
      <c r="H102">
        <v>4</v>
      </c>
      <c r="I102">
        <v>894.64</v>
      </c>
      <c r="J102">
        <v>3578.56</v>
      </c>
    </row>
    <row r="103" spans="1:10">
      <c r="A103" s="26">
        <v>44996</v>
      </c>
      <c r="B103" t="s">
        <v>260</v>
      </c>
      <c r="C103" t="s">
        <v>258</v>
      </c>
      <c r="D103" t="s">
        <v>242</v>
      </c>
      <c r="E103" t="s">
        <v>8</v>
      </c>
      <c r="F103" t="s">
        <v>250</v>
      </c>
      <c r="G103" t="s">
        <v>293</v>
      </c>
      <c r="H103">
        <v>20</v>
      </c>
      <c r="I103">
        <v>1787.99</v>
      </c>
      <c r="J103">
        <v>35759.800000000003</v>
      </c>
    </row>
    <row r="104" spans="1:10">
      <c r="A104" t="s">
        <v>336</v>
      </c>
      <c r="B104" t="s">
        <v>230</v>
      </c>
      <c r="C104" t="s">
        <v>249</v>
      </c>
      <c r="D104" t="s">
        <v>232</v>
      </c>
      <c r="E104" t="s">
        <v>6</v>
      </c>
      <c r="F104" t="s">
        <v>233</v>
      </c>
      <c r="G104" t="s">
        <v>287</v>
      </c>
      <c r="H104">
        <v>17</v>
      </c>
      <c r="I104">
        <v>2910.12</v>
      </c>
      <c r="J104">
        <v>49472.04</v>
      </c>
    </row>
    <row r="105" spans="1:10">
      <c r="A105" s="26">
        <v>44987</v>
      </c>
      <c r="B105" t="s">
        <v>280</v>
      </c>
      <c r="C105" t="s">
        <v>236</v>
      </c>
      <c r="D105" t="s">
        <v>237</v>
      </c>
      <c r="E105" t="s">
        <v>8</v>
      </c>
      <c r="F105" t="s">
        <v>250</v>
      </c>
      <c r="G105" t="s">
        <v>251</v>
      </c>
      <c r="H105">
        <v>16</v>
      </c>
      <c r="I105">
        <v>827.8</v>
      </c>
      <c r="J105">
        <v>13244.8</v>
      </c>
    </row>
    <row r="106" spans="1:10">
      <c r="A106" s="26">
        <v>45174</v>
      </c>
      <c r="B106" t="s">
        <v>240</v>
      </c>
      <c r="C106" t="s">
        <v>273</v>
      </c>
      <c r="D106" t="s">
        <v>252</v>
      </c>
      <c r="E106" t="s">
        <v>5</v>
      </c>
      <c r="F106" t="s">
        <v>238</v>
      </c>
      <c r="G106" t="s">
        <v>256</v>
      </c>
      <c r="H106">
        <v>18</v>
      </c>
      <c r="I106">
        <v>3093.44</v>
      </c>
      <c r="J106">
        <v>55681.919999999998</v>
      </c>
    </row>
    <row r="107" spans="1:10">
      <c r="A107" t="s">
        <v>337</v>
      </c>
      <c r="B107" t="s">
        <v>260</v>
      </c>
      <c r="C107" t="s">
        <v>255</v>
      </c>
      <c r="D107" t="s">
        <v>237</v>
      </c>
      <c r="E107" t="s">
        <v>8</v>
      </c>
      <c r="F107" t="s">
        <v>245</v>
      </c>
      <c r="G107" t="s">
        <v>269</v>
      </c>
      <c r="H107">
        <v>10</v>
      </c>
      <c r="I107">
        <v>2469.04</v>
      </c>
      <c r="J107">
        <v>24690.400000000001</v>
      </c>
    </row>
    <row r="108" spans="1:10">
      <c r="A108" t="s">
        <v>338</v>
      </c>
      <c r="B108" t="s">
        <v>240</v>
      </c>
      <c r="C108" t="s">
        <v>255</v>
      </c>
      <c r="D108" t="s">
        <v>237</v>
      </c>
      <c r="E108" t="s">
        <v>8</v>
      </c>
      <c r="F108" t="s">
        <v>238</v>
      </c>
      <c r="G108" t="s">
        <v>239</v>
      </c>
      <c r="H108">
        <v>12</v>
      </c>
      <c r="I108">
        <v>2127.2800000000002</v>
      </c>
      <c r="J108">
        <v>25527.360000000001</v>
      </c>
    </row>
    <row r="109" spans="1:10">
      <c r="A109" t="s">
        <v>339</v>
      </c>
      <c r="B109" t="s">
        <v>257</v>
      </c>
      <c r="C109" t="s">
        <v>255</v>
      </c>
      <c r="D109" t="s">
        <v>237</v>
      </c>
      <c r="E109" t="s">
        <v>8</v>
      </c>
      <c r="F109" t="s">
        <v>259</v>
      </c>
      <c r="G109" t="s">
        <v>182</v>
      </c>
      <c r="H109">
        <v>1</v>
      </c>
      <c r="I109">
        <v>1811.76</v>
      </c>
      <c r="J109">
        <v>1811.76</v>
      </c>
    </row>
    <row r="110" spans="1:10">
      <c r="A110" t="s">
        <v>340</v>
      </c>
      <c r="B110" t="s">
        <v>271</v>
      </c>
      <c r="C110" t="s">
        <v>283</v>
      </c>
      <c r="D110" t="s">
        <v>242</v>
      </c>
      <c r="E110" t="s">
        <v>8</v>
      </c>
      <c r="F110" t="s">
        <v>233</v>
      </c>
      <c r="G110" t="s">
        <v>287</v>
      </c>
      <c r="H110">
        <v>4</v>
      </c>
      <c r="I110">
        <v>4485.82</v>
      </c>
      <c r="J110">
        <v>17943.28</v>
      </c>
    </row>
    <row r="111" spans="1:10">
      <c r="A111" s="26">
        <v>44994</v>
      </c>
      <c r="B111" t="s">
        <v>271</v>
      </c>
      <c r="C111" t="s">
        <v>258</v>
      </c>
      <c r="D111" t="s">
        <v>242</v>
      </c>
      <c r="E111" t="s">
        <v>8</v>
      </c>
      <c r="F111" t="s">
        <v>259</v>
      </c>
      <c r="G111" t="s">
        <v>182</v>
      </c>
      <c r="H111">
        <v>8</v>
      </c>
      <c r="I111">
        <v>4649.3500000000004</v>
      </c>
      <c r="J111">
        <v>37194.800000000003</v>
      </c>
    </row>
    <row r="112" spans="1:10">
      <c r="A112" t="s">
        <v>341</v>
      </c>
      <c r="B112" t="s">
        <v>235</v>
      </c>
      <c r="C112" t="s">
        <v>244</v>
      </c>
      <c r="D112" t="s">
        <v>237</v>
      </c>
      <c r="E112" t="s">
        <v>8</v>
      </c>
      <c r="F112" t="s">
        <v>233</v>
      </c>
      <c r="G112" t="s">
        <v>304</v>
      </c>
      <c r="H112">
        <v>3</v>
      </c>
      <c r="I112">
        <v>4027.17</v>
      </c>
      <c r="J112">
        <v>12081.51</v>
      </c>
    </row>
    <row r="113" spans="1:10">
      <c r="A113" t="s">
        <v>342</v>
      </c>
      <c r="B113" t="s">
        <v>271</v>
      </c>
      <c r="C113" t="s">
        <v>313</v>
      </c>
      <c r="D113" t="s">
        <v>252</v>
      </c>
      <c r="E113" t="s">
        <v>5</v>
      </c>
      <c r="F113" t="s">
        <v>259</v>
      </c>
      <c r="G113" t="s">
        <v>298</v>
      </c>
      <c r="H113">
        <v>14</v>
      </c>
      <c r="I113">
        <v>4406.29</v>
      </c>
      <c r="J113">
        <v>61688.06</v>
      </c>
    </row>
    <row r="114" spans="1:10">
      <c r="A114" t="s">
        <v>343</v>
      </c>
      <c r="B114" t="s">
        <v>235</v>
      </c>
      <c r="C114" t="s">
        <v>255</v>
      </c>
      <c r="D114" t="s">
        <v>237</v>
      </c>
      <c r="E114" t="s">
        <v>8</v>
      </c>
      <c r="F114" t="s">
        <v>250</v>
      </c>
      <c r="G114" t="s">
        <v>284</v>
      </c>
      <c r="H114">
        <v>20</v>
      </c>
      <c r="I114">
        <v>4072.4</v>
      </c>
      <c r="J114">
        <v>81448</v>
      </c>
    </row>
    <row r="115" spans="1:10">
      <c r="A115" t="s">
        <v>344</v>
      </c>
      <c r="B115" t="s">
        <v>254</v>
      </c>
      <c r="C115" t="s">
        <v>313</v>
      </c>
      <c r="D115" t="s">
        <v>252</v>
      </c>
      <c r="E115" t="s">
        <v>5</v>
      </c>
      <c r="F115" t="s">
        <v>250</v>
      </c>
      <c r="G115" t="s">
        <v>293</v>
      </c>
      <c r="H115">
        <v>1</v>
      </c>
      <c r="I115">
        <v>4801.38</v>
      </c>
      <c r="J115">
        <v>4801.38</v>
      </c>
    </row>
    <row r="116" spans="1:10">
      <c r="A116" s="26">
        <v>45078</v>
      </c>
      <c r="B116" t="s">
        <v>260</v>
      </c>
      <c r="C116" t="s">
        <v>241</v>
      </c>
      <c r="D116" t="s">
        <v>242</v>
      </c>
      <c r="E116" t="s">
        <v>8</v>
      </c>
      <c r="F116" t="s">
        <v>245</v>
      </c>
      <c r="G116" t="s">
        <v>269</v>
      </c>
      <c r="H116">
        <v>17</v>
      </c>
      <c r="I116">
        <v>828.26</v>
      </c>
      <c r="J116">
        <v>14080.42</v>
      </c>
    </row>
    <row r="117" spans="1:10">
      <c r="A117" s="26">
        <v>45170</v>
      </c>
      <c r="B117" t="s">
        <v>248</v>
      </c>
      <c r="C117" t="s">
        <v>276</v>
      </c>
      <c r="D117" t="s">
        <v>247</v>
      </c>
      <c r="E117" t="s">
        <v>6</v>
      </c>
      <c r="F117" t="s">
        <v>250</v>
      </c>
      <c r="G117" t="s">
        <v>284</v>
      </c>
      <c r="H117">
        <v>13</v>
      </c>
      <c r="I117">
        <v>4331.5</v>
      </c>
      <c r="J117">
        <v>56309.5</v>
      </c>
    </row>
    <row r="118" spans="1:10">
      <c r="A118" s="26">
        <v>44994</v>
      </c>
      <c r="B118" t="s">
        <v>254</v>
      </c>
      <c r="C118" t="s">
        <v>274</v>
      </c>
      <c r="D118" t="s">
        <v>232</v>
      </c>
      <c r="E118" t="s">
        <v>6</v>
      </c>
      <c r="F118" t="s">
        <v>245</v>
      </c>
      <c r="G118" t="s">
        <v>269</v>
      </c>
      <c r="H118">
        <v>14</v>
      </c>
      <c r="I118">
        <v>3404.4</v>
      </c>
      <c r="J118">
        <v>47661.599999999999</v>
      </c>
    </row>
    <row r="119" spans="1:10">
      <c r="A119" t="s">
        <v>345</v>
      </c>
      <c r="B119" t="s">
        <v>271</v>
      </c>
      <c r="C119" t="s">
        <v>231</v>
      </c>
      <c r="D119" t="s">
        <v>232</v>
      </c>
      <c r="E119" t="s">
        <v>6</v>
      </c>
      <c r="F119" t="s">
        <v>233</v>
      </c>
      <c r="G119" t="s">
        <v>304</v>
      </c>
      <c r="H119">
        <v>20</v>
      </c>
      <c r="I119">
        <v>3734.44</v>
      </c>
      <c r="J119">
        <v>74688.800000000003</v>
      </c>
    </row>
    <row r="120" spans="1:10">
      <c r="A120" t="s">
        <v>346</v>
      </c>
      <c r="B120" t="s">
        <v>280</v>
      </c>
      <c r="C120" t="s">
        <v>231</v>
      </c>
      <c r="D120" t="s">
        <v>232</v>
      </c>
      <c r="E120" t="s">
        <v>6</v>
      </c>
      <c r="F120" t="s">
        <v>233</v>
      </c>
      <c r="G120" t="s">
        <v>287</v>
      </c>
      <c r="H120">
        <v>6</v>
      </c>
      <c r="I120">
        <v>112.76</v>
      </c>
      <c r="J120">
        <v>676.56</v>
      </c>
    </row>
    <row r="121" spans="1:10">
      <c r="A121" t="s">
        <v>347</v>
      </c>
      <c r="B121" t="s">
        <v>280</v>
      </c>
      <c r="C121" t="s">
        <v>281</v>
      </c>
      <c r="D121" t="s">
        <v>252</v>
      </c>
      <c r="E121" t="s">
        <v>5</v>
      </c>
      <c r="F121" t="s">
        <v>259</v>
      </c>
      <c r="G121" t="s">
        <v>179</v>
      </c>
      <c r="H121">
        <v>6</v>
      </c>
      <c r="I121">
        <v>4751.7700000000004</v>
      </c>
      <c r="J121">
        <v>28510.62</v>
      </c>
    </row>
    <row r="122" spans="1:10">
      <c r="A122" s="26">
        <v>45145</v>
      </c>
      <c r="B122" t="s">
        <v>240</v>
      </c>
      <c r="C122" t="s">
        <v>276</v>
      </c>
      <c r="D122" t="s">
        <v>247</v>
      </c>
      <c r="E122" t="s">
        <v>6</v>
      </c>
      <c r="F122" t="s">
        <v>250</v>
      </c>
      <c r="G122" t="s">
        <v>284</v>
      </c>
      <c r="H122">
        <v>4</v>
      </c>
      <c r="I122">
        <v>3214.1</v>
      </c>
      <c r="J122">
        <v>12856.4</v>
      </c>
    </row>
    <row r="123" spans="1:10">
      <c r="A123" t="s">
        <v>348</v>
      </c>
      <c r="B123" t="s">
        <v>230</v>
      </c>
      <c r="C123" t="s">
        <v>281</v>
      </c>
      <c r="D123" t="s">
        <v>252</v>
      </c>
      <c r="E123" t="s">
        <v>5</v>
      </c>
      <c r="F123" t="s">
        <v>259</v>
      </c>
      <c r="G123" t="s">
        <v>182</v>
      </c>
      <c r="H123">
        <v>20</v>
      </c>
      <c r="I123">
        <v>598.97</v>
      </c>
      <c r="J123">
        <v>11979.4</v>
      </c>
    </row>
    <row r="124" spans="1:10">
      <c r="A124" t="s">
        <v>306</v>
      </c>
      <c r="B124" t="s">
        <v>280</v>
      </c>
      <c r="C124" t="s">
        <v>231</v>
      </c>
      <c r="D124" t="s">
        <v>232</v>
      </c>
      <c r="E124" t="s">
        <v>6</v>
      </c>
      <c r="F124" t="s">
        <v>233</v>
      </c>
      <c r="G124" t="s">
        <v>287</v>
      </c>
      <c r="H124">
        <v>15</v>
      </c>
      <c r="I124">
        <v>1513.67</v>
      </c>
      <c r="J124">
        <v>22705.05</v>
      </c>
    </row>
    <row r="125" spans="1:10">
      <c r="A125" t="s">
        <v>349</v>
      </c>
      <c r="B125" t="s">
        <v>260</v>
      </c>
      <c r="C125" t="s">
        <v>316</v>
      </c>
      <c r="D125" t="s">
        <v>247</v>
      </c>
      <c r="E125" t="s">
        <v>6</v>
      </c>
      <c r="F125" t="s">
        <v>245</v>
      </c>
      <c r="G125" t="s">
        <v>266</v>
      </c>
      <c r="H125">
        <v>6</v>
      </c>
      <c r="I125">
        <v>194.62</v>
      </c>
      <c r="J125">
        <v>1167.72</v>
      </c>
    </row>
    <row r="126" spans="1:10">
      <c r="A126" s="26">
        <v>44938</v>
      </c>
      <c r="B126" t="s">
        <v>268</v>
      </c>
      <c r="C126" t="s">
        <v>316</v>
      </c>
      <c r="D126" t="s">
        <v>247</v>
      </c>
      <c r="E126" t="s">
        <v>6</v>
      </c>
      <c r="F126" t="s">
        <v>245</v>
      </c>
      <c r="G126" t="s">
        <v>266</v>
      </c>
      <c r="H126">
        <v>6</v>
      </c>
      <c r="I126">
        <v>4508.3</v>
      </c>
      <c r="J126">
        <v>27049.8</v>
      </c>
    </row>
    <row r="127" spans="1:10">
      <c r="A127" s="26">
        <v>45239</v>
      </c>
      <c r="B127" t="s">
        <v>257</v>
      </c>
      <c r="C127" t="s">
        <v>261</v>
      </c>
      <c r="D127" t="s">
        <v>247</v>
      </c>
      <c r="E127" t="s">
        <v>6</v>
      </c>
      <c r="F127" t="s">
        <v>233</v>
      </c>
      <c r="G127" t="s">
        <v>304</v>
      </c>
      <c r="H127">
        <v>20</v>
      </c>
      <c r="I127">
        <v>4055.72</v>
      </c>
      <c r="J127">
        <v>81114.399999999994</v>
      </c>
    </row>
    <row r="128" spans="1:10">
      <c r="A128" s="26">
        <v>44995</v>
      </c>
      <c r="B128" t="s">
        <v>260</v>
      </c>
      <c r="C128" t="s">
        <v>244</v>
      </c>
      <c r="D128" t="s">
        <v>237</v>
      </c>
      <c r="E128" t="s">
        <v>8</v>
      </c>
      <c r="F128" t="s">
        <v>233</v>
      </c>
      <c r="G128" t="s">
        <v>304</v>
      </c>
      <c r="H128">
        <v>8</v>
      </c>
      <c r="I128">
        <v>2986.89</v>
      </c>
      <c r="J128">
        <v>23895.119999999999</v>
      </c>
    </row>
    <row r="129" spans="1:10">
      <c r="A129" t="s">
        <v>320</v>
      </c>
      <c r="B129" t="s">
        <v>254</v>
      </c>
      <c r="C129" t="s">
        <v>273</v>
      </c>
      <c r="D129" t="s">
        <v>252</v>
      </c>
      <c r="E129" t="s">
        <v>5</v>
      </c>
      <c r="F129" t="s">
        <v>259</v>
      </c>
      <c r="G129" t="s">
        <v>298</v>
      </c>
      <c r="H129">
        <v>7</v>
      </c>
      <c r="I129">
        <v>4933.0600000000004</v>
      </c>
      <c r="J129">
        <v>34531.42</v>
      </c>
    </row>
    <row r="130" spans="1:10">
      <c r="A130" t="s">
        <v>350</v>
      </c>
      <c r="B130" t="s">
        <v>271</v>
      </c>
      <c r="C130" t="s">
        <v>241</v>
      </c>
      <c r="D130" t="s">
        <v>242</v>
      </c>
      <c r="E130" t="s">
        <v>8</v>
      </c>
      <c r="F130" t="s">
        <v>238</v>
      </c>
      <c r="G130" t="s">
        <v>239</v>
      </c>
      <c r="H130">
        <v>4</v>
      </c>
      <c r="I130">
        <v>4837.17</v>
      </c>
      <c r="J130">
        <v>19348.68</v>
      </c>
    </row>
    <row r="131" spans="1:10">
      <c r="A131" s="26">
        <v>45026</v>
      </c>
      <c r="B131" t="s">
        <v>260</v>
      </c>
      <c r="C131" t="s">
        <v>281</v>
      </c>
      <c r="D131" t="s">
        <v>252</v>
      </c>
      <c r="E131" t="s">
        <v>5</v>
      </c>
      <c r="F131" t="s">
        <v>238</v>
      </c>
      <c r="G131" t="s">
        <v>239</v>
      </c>
      <c r="H131">
        <v>1</v>
      </c>
      <c r="I131">
        <v>4813.2299999999996</v>
      </c>
      <c r="J131">
        <v>4813.2299999999996</v>
      </c>
    </row>
    <row r="132" spans="1:10">
      <c r="A132" t="s">
        <v>286</v>
      </c>
      <c r="B132" t="s">
        <v>260</v>
      </c>
      <c r="C132" t="s">
        <v>258</v>
      </c>
      <c r="D132" t="s">
        <v>242</v>
      </c>
      <c r="E132" t="s">
        <v>8</v>
      </c>
      <c r="F132" t="s">
        <v>245</v>
      </c>
      <c r="G132" t="s">
        <v>295</v>
      </c>
      <c r="H132">
        <v>16</v>
      </c>
      <c r="I132">
        <v>3158.66</v>
      </c>
      <c r="J132">
        <v>50538.559999999998</v>
      </c>
    </row>
    <row r="133" spans="1:10">
      <c r="A133" s="26">
        <v>45086</v>
      </c>
      <c r="B133" t="s">
        <v>235</v>
      </c>
      <c r="C133" t="s">
        <v>231</v>
      </c>
      <c r="D133" t="s">
        <v>232</v>
      </c>
      <c r="E133" t="s">
        <v>6</v>
      </c>
      <c r="F133" t="s">
        <v>259</v>
      </c>
      <c r="G133" t="s">
        <v>182</v>
      </c>
      <c r="H133">
        <v>6</v>
      </c>
      <c r="I133">
        <v>2920.43</v>
      </c>
      <c r="J133">
        <v>17522.580000000002</v>
      </c>
    </row>
    <row r="134" spans="1:10">
      <c r="A134" s="26">
        <v>45119</v>
      </c>
      <c r="B134" t="s">
        <v>235</v>
      </c>
      <c r="C134" t="s">
        <v>231</v>
      </c>
      <c r="D134" t="s">
        <v>232</v>
      </c>
      <c r="E134" t="s">
        <v>6</v>
      </c>
      <c r="F134" t="s">
        <v>245</v>
      </c>
      <c r="G134" t="s">
        <v>266</v>
      </c>
      <c r="H134">
        <v>12</v>
      </c>
      <c r="I134">
        <v>2170.02</v>
      </c>
      <c r="J134">
        <v>26040.240000000002</v>
      </c>
    </row>
    <row r="135" spans="1:10">
      <c r="A135" t="s">
        <v>351</v>
      </c>
      <c r="B135" t="s">
        <v>254</v>
      </c>
      <c r="C135" t="s">
        <v>231</v>
      </c>
      <c r="D135" t="s">
        <v>232</v>
      </c>
      <c r="E135" t="s">
        <v>6</v>
      </c>
      <c r="F135" t="s">
        <v>259</v>
      </c>
      <c r="G135" t="s">
        <v>179</v>
      </c>
      <c r="H135">
        <v>2</v>
      </c>
      <c r="I135">
        <v>4542.6099999999997</v>
      </c>
      <c r="J135">
        <v>9085.2199999999993</v>
      </c>
    </row>
    <row r="136" spans="1:10">
      <c r="A136" t="s">
        <v>253</v>
      </c>
      <c r="B136" t="s">
        <v>240</v>
      </c>
      <c r="C136" t="s">
        <v>274</v>
      </c>
      <c r="D136" t="s">
        <v>232</v>
      </c>
      <c r="E136" t="s">
        <v>6</v>
      </c>
      <c r="F136" t="s">
        <v>259</v>
      </c>
      <c r="G136" t="s">
        <v>179</v>
      </c>
      <c r="H136">
        <v>1</v>
      </c>
      <c r="I136">
        <v>3091.48</v>
      </c>
      <c r="J136">
        <v>3091.48</v>
      </c>
    </row>
    <row r="137" spans="1:10">
      <c r="A137" s="26">
        <v>45017</v>
      </c>
      <c r="B137" t="s">
        <v>260</v>
      </c>
      <c r="C137" t="s">
        <v>276</v>
      </c>
      <c r="D137" t="s">
        <v>247</v>
      </c>
      <c r="E137" t="s">
        <v>6</v>
      </c>
      <c r="F137" t="s">
        <v>233</v>
      </c>
      <c r="G137" t="s">
        <v>234</v>
      </c>
      <c r="H137">
        <v>3</v>
      </c>
      <c r="I137">
        <v>2205.6</v>
      </c>
      <c r="J137">
        <v>6616.8</v>
      </c>
    </row>
    <row r="138" spans="1:10">
      <c r="A138" t="s">
        <v>352</v>
      </c>
      <c r="B138" t="s">
        <v>240</v>
      </c>
      <c r="C138" t="s">
        <v>231</v>
      </c>
      <c r="D138" t="s">
        <v>232</v>
      </c>
      <c r="E138" t="s">
        <v>6</v>
      </c>
      <c r="F138" t="s">
        <v>259</v>
      </c>
      <c r="G138" t="s">
        <v>298</v>
      </c>
      <c r="H138">
        <v>10</v>
      </c>
      <c r="I138">
        <v>4282.18</v>
      </c>
      <c r="J138">
        <v>42821.8</v>
      </c>
    </row>
    <row r="139" spans="1:10">
      <c r="A139" t="s">
        <v>353</v>
      </c>
      <c r="B139" t="s">
        <v>254</v>
      </c>
      <c r="C139" t="s">
        <v>241</v>
      </c>
      <c r="D139" t="s">
        <v>242</v>
      </c>
      <c r="E139" t="s">
        <v>8</v>
      </c>
      <c r="F139" t="s">
        <v>238</v>
      </c>
      <c r="G139" t="s">
        <v>239</v>
      </c>
      <c r="H139">
        <v>5</v>
      </c>
      <c r="I139">
        <v>4252.84</v>
      </c>
      <c r="J139">
        <v>21264.2</v>
      </c>
    </row>
    <row r="140" spans="1:10">
      <c r="A140" s="26">
        <v>45139</v>
      </c>
      <c r="B140" t="s">
        <v>235</v>
      </c>
      <c r="C140" t="s">
        <v>313</v>
      </c>
      <c r="D140" t="s">
        <v>252</v>
      </c>
      <c r="E140" t="s">
        <v>5</v>
      </c>
      <c r="F140" t="s">
        <v>233</v>
      </c>
      <c r="G140" t="s">
        <v>304</v>
      </c>
      <c r="H140">
        <v>3</v>
      </c>
      <c r="I140">
        <v>916.33</v>
      </c>
      <c r="J140">
        <v>2748.99</v>
      </c>
    </row>
    <row r="141" spans="1:10">
      <c r="A141" t="s">
        <v>354</v>
      </c>
      <c r="B141" t="s">
        <v>235</v>
      </c>
      <c r="C141" t="s">
        <v>261</v>
      </c>
      <c r="D141" t="s">
        <v>247</v>
      </c>
      <c r="E141" t="s">
        <v>6</v>
      </c>
      <c r="F141" t="s">
        <v>233</v>
      </c>
      <c r="G141" t="s">
        <v>304</v>
      </c>
      <c r="H141">
        <v>3</v>
      </c>
      <c r="I141">
        <v>1270.1500000000001</v>
      </c>
      <c r="J141">
        <v>3810.45</v>
      </c>
    </row>
    <row r="142" spans="1:10">
      <c r="A142" s="26">
        <v>45232</v>
      </c>
      <c r="B142" t="s">
        <v>240</v>
      </c>
      <c r="C142" t="s">
        <v>236</v>
      </c>
      <c r="D142" t="s">
        <v>237</v>
      </c>
      <c r="E142" t="s">
        <v>8</v>
      </c>
      <c r="F142" t="s">
        <v>233</v>
      </c>
      <c r="G142" t="s">
        <v>287</v>
      </c>
      <c r="H142">
        <v>6</v>
      </c>
      <c r="I142">
        <v>1750.35</v>
      </c>
      <c r="J142">
        <v>10502.1</v>
      </c>
    </row>
    <row r="143" spans="1:10">
      <c r="A143" t="s">
        <v>355</v>
      </c>
      <c r="B143" t="s">
        <v>230</v>
      </c>
      <c r="C143" t="s">
        <v>236</v>
      </c>
      <c r="D143" t="s">
        <v>237</v>
      </c>
      <c r="E143" t="s">
        <v>8</v>
      </c>
      <c r="F143" t="s">
        <v>250</v>
      </c>
      <c r="G143" t="s">
        <v>251</v>
      </c>
      <c r="H143">
        <v>6</v>
      </c>
      <c r="I143">
        <v>1105.03</v>
      </c>
      <c r="J143">
        <v>6630.18</v>
      </c>
    </row>
    <row r="144" spans="1:10">
      <c r="A144" t="s">
        <v>356</v>
      </c>
      <c r="B144" t="s">
        <v>260</v>
      </c>
      <c r="C144" t="s">
        <v>236</v>
      </c>
      <c r="D144" t="s">
        <v>237</v>
      </c>
      <c r="E144" t="s">
        <v>8</v>
      </c>
      <c r="F144" t="s">
        <v>233</v>
      </c>
      <c r="G144" t="s">
        <v>234</v>
      </c>
      <c r="H144">
        <v>17</v>
      </c>
      <c r="I144">
        <v>1801.69</v>
      </c>
      <c r="J144">
        <v>30628.73</v>
      </c>
    </row>
    <row r="145" spans="1:10">
      <c r="A145" s="26">
        <v>45176</v>
      </c>
      <c r="B145" t="s">
        <v>268</v>
      </c>
      <c r="C145" t="s">
        <v>283</v>
      </c>
      <c r="D145" t="s">
        <v>242</v>
      </c>
      <c r="E145" t="s">
        <v>8</v>
      </c>
      <c r="F145" t="s">
        <v>259</v>
      </c>
      <c r="G145" t="s">
        <v>179</v>
      </c>
      <c r="H145">
        <v>19</v>
      </c>
      <c r="I145">
        <v>717.29</v>
      </c>
      <c r="J145">
        <v>13628.51</v>
      </c>
    </row>
    <row r="146" spans="1:10">
      <c r="A146" t="s">
        <v>333</v>
      </c>
      <c r="B146" t="s">
        <v>240</v>
      </c>
      <c r="C146" t="s">
        <v>316</v>
      </c>
      <c r="D146" t="s">
        <v>247</v>
      </c>
      <c r="E146" t="s">
        <v>6</v>
      </c>
      <c r="F146" t="s">
        <v>238</v>
      </c>
      <c r="G146" t="s">
        <v>296</v>
      </c>
      <c r="H146">
        <v>2</v>
      </c>
      <c r="I146">
        <v>4547.16</v>
      </c>
      <c r="J146">
        <v>9094.32</v>
      </c>
    </row>
    <row r="147" spans="1:10">
      <c r="A147" s="26">
        <v>45027</v>
      </c>
      <c r="B147" t="s">
        <v>260</v>
      </c>
      <c r="C147" t="s">
        <v>313</v>
      </c>
      <c r="D147" t="s">
        <v>252</v>
      </c>
      <c r="E147" t="s">
        <v>5</v>
      </c>
      <c r="F147" t="s">
        <v>245</v>
      </c>
      <c r="G147" t="s">
        <v>246</v>
      </c>
      <c r="H147">
        <v>2</v>
      </c>
      <c r="I147">
        <v>4818.49</v>
      </c>
      <c r="J147">
        <v>9636.98</v>
      </c>
    </row>
    <row r="148" spans="1:10">
      <c r="A148" s="26">
        <v>45210</v>
      </c>
      <c r="B148" t="s">
        <v>248</v>
      </c>
      <c r="C148" t="s">
        <v>255</v>
      </c>
      <c r="D148" t="s">
        <v>237</v>
      </c>
      <c r="E148" t="s">
        <v>8</v>
      </c>
      <c r="F148" t="s">
        <v>238</v>
      </c>
      <c r="G148" t="s">
        <v>239</v>
      </c>
      <c r="H148">
        <v>14</v>
      </c>
      <c r="I148">
        <v>1410.91</v>
      </c>
      <c r="J148">
        <v>19752.740000000002</v>
      </c>
    </row>
    <row r="149" spans="1:10">
      <c r="A149" t="s">
        <v>357</v>
      </c>
      <c r="B149" t="s">
        <v>280</v>
      </c>
      <c r="C149" t="s">
        <v>241</v>
      </c>
      <c r="D149" t="s">
        <v>242</v>
      </c>
      <c r="E149" t="s">
        <v>8</v>
      </c>
      <c r="F149" t="s">
        <v>245</v>
      </c>
      <c r="G149" t="s">
        <v>246</v>
      </c>
      <c r="H149">
        <v>20</v>
      </c>
      <c r="I149">
        <v>239.35</v>
      </c>
      <c r="J149">
        <v>4787</v>
      </c>
    </row>
    <row r="150" spans="1:10">
      <c r="A150" s="26">
        <v>44963</v>
      </c>
      <c r="B150" t="s">
        <v>254</v>
      </c>
      <c r="C150" t="s">
        <v>316</v>
      </c>
      <c r="D150" t="s">
        <v>247</v>
      </c>
      <c r="E150" t="s">
        <v>6</v>
      </c>
      <c r="F150" t="s">
        <v>238</v>
      </c>
      <c r="G150" t="s">
        <v>296</v>
      </c>
      <c r="H150">
        <v>16</v>
      </c>
      <c r="I150">
        <v>4096.74</v>
      </c>
      <c r="J150">
        <v>65547.839999999997</v>
      </c>
    </row>
    <row r="151" spans="1:10">
      <c r="A151" t="s">
        <v>358</v>
      </c>
      <c r="B151" t="s">
        <v>254</v>
      </c>
      <c r="C151" t="s">
        <v>255</v>
      </c>
      <c r="D151" t="s">
        <v>237</v>
      </c>
      <c r="E151" t="s">
        <v>8</v>
      </c>
      <c r="F151" t="s">
        <v>238</v>
      </c>
      <c r="G151" t="s">
        <v>256</v>
      </c>
      <c r="H151">
        <v>14</v>
      </c>
      <c r="I151">
        <v>3507.25</v>
      </c>
      <c r="J151">
        <v>49101.5</v>
      </c>
    </row>
    <row r="152" spans="1:10">
      <c r="A152" t="s">
        <v>359</v>
      </c>
      <c r="B152" t="s">
        <v>248</v>
      </c>
      <c r="C152" t="s">
        <v>274</v>
      </c>
      <c r="D152" t="s">
        <v>232</v>
      </c>
      <c r="E152" t="s">
        <v>6</v>
      </c>
      <c r="F152" t="s">
        <v>238</v>
      </c>
      <c r="G152" t="s">
        <v>296</v>
      </c>
      <c r="H152">
        <v>16</v>
      </c>
      <c r="I152">
        <v>4507.37</v>
      </c>
      <c r="J152">
        <v>72117.919999999998</v>
      </c>
    </row>
    <row r="153" spans="1:10">
      <c r="A153" t="s">
        <v>318</v>
      </c>
      <c r="B153" t="s">
        <v>254</v>
      </c>
      <c r="C153" t="s">
        <v>313</v>
      </c>
      <c r="D153" t="s">
        <v>252</v>
      </c>
      <c r="E153" t="s">
        <v>5</v>
      </c>
      <c r="F153" t="s">
        <v>233</v>
      </c>
      <c r="G153" t="s">
        <v>287</v>
      </c>
      <c r="H153">
        <v>10</v>
      </c>
      <c r="I153">
        <v>239.55</v>
      </c>
      <c r="J153">
        <v>2395.5</v>
      </c>
    </row>
    <row r="154" spans="1:10">
      <c r="A154" t="s">
        <v>323</v>
      </c>
      <c r="B154" t="s">
        <v>230</v>
      </c>
      <c r="C154" t="s">
        <v>231</v>
      </c>
      <c r="D154" t="s">
        <v>232</v>
      </c>
      <c r="E154" t="s">
        <v>6</v>
      </c>
      <c r="F154" t="s">
        <v>238</v>
      </c>
      <c r="G154" t="s">
        <v>256</v>
      </c>
      <c r="H154">
        <v>17</v>
      </c>
      <c r="I154">
        <v>679.78</v>
      </c>
      <c r="J154">
        <v>11556.26</v>
      </c>
    </row>
    <row r="155" spans="1:10">
      <c r="A155" t="s">
        <v>360</v>
      </c>
      <c r="B155" t="s">
        <v>254</v>
      </c>
      <c r="C155" t="s">
        <v>258</v>
      </c>
      <c r="D155" t="s">
        <v>242</v>
      </c>
      <c r="E155" t="s">
        <v>8</v>
      </c>
      <c r="F155" t="s">
        <v>233</v>
      </c>
      <c r="G155" t="s">
        <v>304</v>
      </c>
      <c r="H155">
        <v>18</v>
      </c>
      <c r="I155">
        <v>2658.57</v>
      </c>
      <c r="J155">
        <v>47854.26</v>
      </c>
    </row>
    <row r="156" spans="1:10">
      <c r="A156" t="s">
        <v>338</v>
      </c>
      <c r="B156" t="s">
        <v>268</v>
      </c>
      <c r="C156" t="s">
        <v>236</v>
      </c>
      <c r="D156" t="s">
        <v>237</v>
      </c>
      <c r="E156" t="s">
        <v>8</v>
      </c>
      <c r="F156" t="s">
        <v>233</v>
      </c>
      <c r="G156" t="s">
        <v>234</v>
      </c>
      <c r="H156">
        <v>18</v>
      </c>
      <c r="I156">
        <v>4937.99</v>
      </c>
      <c r="J156">
        <v>88883.82</v>
      </c>
    </row>
    <row r="157" spans="1:10">
      <c r="A157" t="s">
        <v>342</v>
      </c>
      <c r="B157" t="s">
        <v>268</v>
      </c>
      <c r="C157" t="s">
        <v>276</v>
      </c>
      <c r="D157" t="s">
        <v>247</v>
      </c>
      <c r="E157" t="s">
        <v>6</v>
      </c>
      <c r="F157" t="s">
        <v>233</v>
      </c>
      <c r="G157" t="s">
        <v>301</v>
      </c>
      <c r="H157">
        <v>17</v>
      </c>
      <c r="I157">
        <v>3421.31</v>
      </c>
      <c r="J157">
        <v>58162.27</v>
      </c>
    </row>
    <row r="158" spans="1:10">
      <c r="A158" t="s">
        <v>353</v>
      </c>
      <c r="B158" t="s">
        <v>280</v>
      </c>
      <c r="C158" t="s">
        <v>281</v>
      </c>
      <c r="D158" t="s">
        <v>252</v>
      </c>
      <c r="E158" t="s">
        <v>5</v>
      </c>
      <c r="F158" t="s">
        <v>259</v>
      </c>
      <c r="G158" t="s">
        <v>179</v>
      </c>
      <c r="H158">
        <v>4</v>
      </c>
      <c r="I158">
        <v>1555.9</v>
      </c>
      <c r="J158">
        <v>6223.6</v>
      </c>
    </row>
    <row r="159" spans="1:10">
      <c r="A159" t="s">
        <v>361</v>
      </c>
      <c r="B159" t="s">
        <v>257</v>
      </c>
      <c r="C159" t="s">
        <v>274</v>
      </c>
      <c r="D159" t="s">
        <v>232</v>
      </c>
      <c r="E159" t="s">
        <v>6</v>
      </c>
      <c r="F159" t="s">
        <v>259</v>
      </c>
      <c r="G159" t="s">
        <v>179</v>
      </c>
      <c r="H159">
        <v>12</v>
      </c>
      <c r="I159">
        <v>932.42</v>
      </c>
      <c r="J159">
        <v>11189.04</v>
      </c>
    </row>
    <row r="160" spans="1:10">
      <c r="A160" t="s">
        <v>344</v>
      </c>
      <c r="B160" t="s">
        <v>254</v>
      </c>
      <c r="C160" t="s">
        <v>258</v>
      </c>
      <c r="D160" t="s">
        <v>242</v>
      </c>
      <c r="E160" t="s">
        <v>8</v>
      </c>
      <c r="F160" t="s">
        <v>233</v>
      </c>
      <c r="G160" t="s">
        <v>304</v>
      </c>
      <c r="H160">
        <v>20</v>
      </c>
      <c r="I160">
        <v>459.48</v>
      </c>
      <c r="J160">
        <v>9189.6</v>
      </c>
    </row>
    <row r="161" spans="1:10">
      <c r="A161" t="s">
        <v>334</v>
      </c>
      <c r="B161" t="s">
        <v>235</v>
      </c>
      <c r="C161" t="s">
        <v>241</v>
      </c>
      <c r="D161" t="s">
        <v>242</v>
      </c>
      <c r="E161" t="s">
        <v>8</v>
      </c>
      <c r="F161" t="s">
        <v>259</v>
      </c>
      <c r="G161" t="s">
        <v>298</v>
      </c>
      <c r="H161">
        <v>5</v>
      </c>
      <c r="I161">
        <v>568.87</v>
      </c>
      <c r="J161">
        <v>2844.35</v>
      </c>
    </row>
    <row r="162" spans="1:10">
      <c r="A162" t="s">
        <v>329</v>
      </c>
      <c r="B162" t="s">
        <v>240</v>
      </c>
      <c r="C162" t="s">
        <v>283</v>
      </c>
      <c r="D162" t="s">
        <v>242</v>
      </c>
      <c r="E162" t="s">
        <v>8</v>
      </c>
      <c r="F162" t="s">
        <v>245</v>
      </c>
      <c r="G162" t="s">
        <v>295</v>
      </c>
      <c r="H162">
        <v>10</v>
      </c>
      <c r="I162">
        <v>1468.96</v>
      </c>
      <c r="J162">
        <v>14689.6</v>
      </c>
    </row>
    <row r="163" spans="1:10">
      <c r="A163" t="s">
        <v>352</v>
      </c>
      <c r="B163" t="s">
        <v>280</v>
      </c>
      <c r="C163" t="s">
        <v>281</v>
      </c>
      <c r="D163" t="s">
        <v>252</v>
      </c>
      <c r="E163" t="s">
        <v>5</v>
      </c>
      <c r="F163" t="s">
        <v>233</v>
      </c>
      <c r="G163" t="s">
        <v>304</v>
      </c>
      <c r="H163">
        <v>6</v>
      </c>
      <c r="I163">
        <v>3080.25</v>
      </c>
      <c r="J163">
        <v>18481.5</v>
      </c>
    </row>
    <row r="164" spans="1:10">
      <c r="A164" t="s">
        <v>362</v>
      </c>
      <c r="B164" t="s">
        <v>280</v>
      </c>
      <c r="C164" t="s">
        <v>241</v>
      </c>
      <c r="D164" t="s">
        <v>242</v>
      </c>
      <c r="E164" t="s">
        <v>8</v>
      </c>
      <c r="F164" t="s">
        <v>245</v>
      </c>
      <c r="G164" t="s">
        <v>266</v>
      </c>
      <c r="H164">
        <v>11</v>
      </c>
      <c r="I164">
        <v>1817.43</v>
      </c>
      <c r="J164">
        <v>19991.73</v>
      </c>
    </row>
    <row r="165" spans="1:10">
      <c r="A165" t="s">
        <v>363</v>
      </c>
      <c r="B165" t="s">
        <v>230</v>
      </c>
      <c r="C165" t="s">
        <v>313</v>
      </c>
      <c r="D165" t="s">
        <v>252</v>
      </c>
      <c r="E165" t="s">
        <v>5</v>
      </c>
      <c r="F165" t="s">
        <v>238</v>
      </c>
      <c r="G165" t="s">
        <v>296</v>
      </c>
      <c r="H165">
        <v>19</v>
      </c>
      <c r="I165">
        <v>3800.55</v>
      </c>
      <c r="J165">
        <v>72210.45</v>
      </c>
    </row>
    <row r="166" spans="1:10">
      <c r="A166" t="s">
        <v>364</v>
      </c>
      <c r="B166" t="s">
        <v>257</v>
      </c>
      <c r="C166" t="s">
        <v>316</v>
      </c>
      <c r="D166" t="s">
        <v>247</v>
      </c>
      <c r="E166" t="s">
        <v>6</v>
      </c>
      <c r="F166" t="s">
        <v>259</v>
      </c>
      <c r="G166" t="s">
        <v>179</v>
      </c>
      <c r="H166">
        <v>17</v>
      </c>
      <c r="I166">
        <v>2809.13</v>
      </c>
      <c r="J166">
        <v>47755.21</v>
      </c>
    </row>
    <row r="167" spans="1:10">
      <c r="A167" s="26">
        <v>45083</v>
      </c>
      <c r="B167" t="s">
        <v>240</v>
      </c>
      <c r="C167" t="s">
        <v>258</v>
      </c>
      <c r="D167" t="s">
        <v>242</v>
      </c>
      <c r="E167" t="s">
        <v>8</v>
      </c>
      <c r="F167" t="s">
        <v>238</v>
      </c>
      <c r="G167" t="s">
        <v>239</v>
      </c>
      <c r="H167">
        <v>9</v>
      </c>
      <c r="I167">
        <v>4712.9799999999996</v>
      </c>
      <c r="J167">
        <v>42416.82</v>
      </c>
    </row>
    <row r="168" spans="1:10">
      <c r="A168" s="26">
        <v>44969</v>
      </c>
      <c r="B168" t="s">
        <v>240</v>
      </c>
      <c r="C168" t="s">
        <v>316</v>
      </c>
      <c r="D168" t="s">
        <v>247</v>
      </c>
      <c r="E168" t="s">
        <v>6</v>
      </c>
      <c r="F168" t="s">
        <v>259</v>
      </c>
      <c r="G168" t="s">
        <v>299</v>
      </c>
      <c r="H168">
        <v>1</v>
      </c>
      <c r="I168">
        <v>4541.7700000000004</v>
      </c>
      <c r="J168">
        <v>4541.7700000000004</v>
      </c>
    </row>
    <row r="169" spans="1:10">
      <c r="A169" s="26">
        <v>44988</v>
      </c>
      <c r="B169" t="s">
        <v>260</v>
      </c>
      <c r="C169" t="s">
        <v>273</v>
      </c>
      <c r="D169" t="s">
        <v>252</v>
      </c>
      <c r="E169" t="s">
        <v>5</v>
      </c>
      <c r="F169" t="s">
        <v>259</v>
      </c>
      <c r="G169" t="s">
        <v>182</v>
      </c>
      <c r="H169">
        <v>9</v>
      </c>
      <c r="I169">
        <v>3122.72</v>
      </c>
      <c r="J169">
        <v>28104.48</v>
      </c>
    </row>
    <row r="170" spans="1:10">
      <c r="A170" t="s">
        <v>357</v>
      </c>
      <c r="B170" t="s">
        <v>257</v>
      </c>
      <c r="C170" t="s">
        <v>249</v>
      </c>
      <c r="D170" t="s">
        <v>232</v>
      </c>
      <c r="E170" t="s">
        <v>6</v>
      </c>
      <c r="F170" t="s">
        <v>238</v>
      </c>
      <c r="G170" t="s">
        <v>296</v>
      </c>
      <c r="H170">
        <v>9</v>
      </c>
      <c r="I170">
        <v>4198.92</v>
      </c>
      <c r="J170">
        <v>37790.28</v>
      </c>
    </row>
    <row r="171" spans="1:10">
      <c r="A171" s="26">
        <v>45019</v>
      </c>
      <c r="B171" t="s">
        <v>254</v>
      </c>
      <c r="C171" t="s">
        <v>236</v>
      </c>
      <c r="D171" t="s">
        <v>237</v>
      </c>
      <c r="E171" t="s">
        <v>8</v>
      </c>
      <c r="F171" t="s">
        <v>233</v>
      </c>
      <c r="G171" t="s">
        <v>301</v>
      </c>
      <c r="H171">
        <v>17</v>
      </c>
      <c r="I171">
        <v>4415.8500000000004</v>
      </c>
      <c r="J171">
        <v>75069.45</v>
      </c>
    </row>
    <row r="172" spans="1:10">
      <c r="A172" t="s">
        <v>365</v>
      </c>
      <c r="B172" t="s">
        <v>271</v>
      </c>
      <c r="C172" t="s">
        <v>241</v>
      </c>
      <c r="D172" t="s">
        <v>242</v>
      </c>
      <c r="E172" t="s">
        <v>8</v>
      </c>
      <c r="F172" t="s">
        <v>250</v>
      </c>
      <c r="G172" t="s">
        <v>284</v>
      </c>
      <c r="H172">
        <v>16</v>
      </c>
      <c r="I172">
        <v>4684.8599999999997</v>
      </c>
      <c r="J172">
        <v>74957.759999999995</v>
      </c>
    </row>
    <row r="173" spans="1:10">
      <c r="A173" t="s">
        <v>253</v>
      </c>
      <c r="B173" t="s">
        <v>240</v>
      </c>
      <c r="C173" t="s">
        <v>241</v>
      </c>
      <c r="D173" t="s">
        <v>242</v>
      </c>
      <c r="E173" t="s">
        <v>8</v>
      </c>
      <c r="F173" t="s">
        <v>233</v>
      </c>
      <c r="G173" t="s">
        <v>287</v>
      </c>
      <c r="H173">
        <v>17</v>
      </c>
      <c r="I173">
        <v>4156.25</v>
      </c>
      <c r="J173">
        <v>70656.25</v>
      </c>
    </row>
    <row r="174" spans="1:10">
      <c r="A174" s="26">
        <v>45051</v>
      </c>
      <c r="B174" t="s">
        <v>240</v>
      </c>
      <c r="C174" t="s">
        <v>236</v>
      </c>
      <c r="D174" t="s">
        <v>237</v>
      </c>
      <c r="E174" t="s">
        <v>8</v>
      </c>
      <c r="F174" t="s">
        <v>238</v>
      </c>
      <c r="G174" t="s">
        <v>296</v>
      </c>
      <c r="H174">
        <v>10</v>
      </c>
      <c r="I174">
        <v>3776.8</v>
      </c>
      <c r="J174">
        <v>37768</v>
      </c>
    </row>
    <row r="175" spans="1:10">
      <c r="A175" t="s">
        <v>297</v>
      </c>
      <c r="B175" t="s">
        <v>268</v>
      </c>
      <c r="C175" t="s">
        <v>276</v>
      </c>
      <c r="D175" t="s">
        <v>247</v>
      </c>
      <c r="E175" t="s">
        <v>6</v>
      </c>
      <c r="F175" t="s">
        <v>259</v>
      </c>
      <c r="G175" t="s">
        <v>179</v>
      </c>
      <c r="H175">
        <v>8</v>
      </c>
      <c r="I175">
        <v>310.33</v>
      </c>
      <c r="J175">
        <v>2482.64</v>
      </c>
    </row>
    <row r="176" spans="1:10">
      <c r="A176" s="26">
        <v>45051</v>
      </c>
      <c r="B176" t="s">
        <v>254</v>
      </c>
      <c r="C176" t="s">
        <v>316</v>
      </c>
      <c r="D176" t="s">
        <v>247</v>
      </c>
      <c r="E176" t="s">
        <v>6</v>
      </c>
      <c r="F176" t="s">
        <v>250</v>
      </c>
      <c r="G176" t="s">
        <v>277</v>
      </c>
      <c r="H176">
        <v>5</v>
      </c>
      <c r="I176">
        <v>1313.4</v>
      </c>
      <c r="J176">
        <v>6567</v>
      </c>
    </row>
    <row r="177" spans="1:10">
      <c r="A177" t="s">
        <v>366</v>
      </c>
      <c r="B177" t="s">
        <v>280</v>
      </c>
      <c r="C177" t="s">
        <v>231</v>
      </c>
      <c r="D177" t="s">
        <v>232</v>
      </c>
      <c r="E177" t="s">
        <v>6</v>
      </c>
      <c r="F177" t="s">
        <v>250</v>
      </c>
      <c r="G177" t="s">
        <v>284</v>
      </c>
      <c r="H177">
        <v>6</v>
      </c>
      <c r="I177">
        <v>2332.11</v>
      </c>
      <c r="J177">
        <v>13992.66</v>
      </c>
    </row>
    <row r="178" spans="1:10">
      <c r="A178" t="s">
        <v>367</v>
      </c>
      <c r="B178" t="s">
        <v>235</v>
      </c>
      <c r="C178" t="s">
        <v>313</v>
      </c>
      <c r="D178" t="s">
        <v>252</v>
      </c>
      <c r="E178" t="s">
        <v>5</v>
      </c>
      <c r="F178" t="s">
        <v>238</v>
      </c>
      <c r="G178" t="s">
        <v>303</v>
      </c>
      <c r="H178">
        <v>3</v>
      </c>
      <c r="I178">
        <v>4955.22</v>
      </c>
      <c r="J178">
        <v>14865.66</v>
      </c>
    </row>
    <row r="179" spans="1:10">
      <c r="A179" t="s">
        <v>368</v>
      </c>
      <c r="B179" t="s">
        <v>235</v>
      </c>
      <c r="C179" t="s">
        <v>231</v>
      </c>
      <c r="D179" t="s">
        <v>232</v>
      </c>
      <c r="E179" t="s">
        <v>6</v>
      </c>
      <c r="F179" t="s">
        <v>233</v>
      </c>
      <c r="G179" t="s">
        <v>234</v>
      </c>
      <c r="H179">
        <v>17</v>
      </c>
      <c r="I179">
        <v>3827.64</v>
      </c>
      <c r="J179">
        <v>65069.88</v>
      </c>
    </row>
    <row r="180" spans="1:10">
      <c r="A180" s="26">
        <v>45025</v>
      </c>
      <c r="B180" t="s">
        <v>230</v>
      </c>
      <c r="C180" t="s">
        <v>276</v>
      </c>
      <c r="D180" t="s">
        <v>247</v>
      </c>
      <c r="E180" t="s">
        <v>6</v>
      </c>
      <c r="F180" t="s">
        <v>245</v>
      </c>
      <c r="G180" t="s">
        <v>246</v>
      </c>
      <c r="H180">
        <v>17</v>
      </c>
      <c r="I180">
        <v>3857.33</v>
      </c>
      <c r="J180">
        <v>65574.61</v>
      </c>
    </row>
    <row r="181" spans="1:10">
      <c r="A181" t="s">
        <v>369</v>
      </c>
      <c r="B181" t="s">
        <v>240</v>
      </c>
      <c r="C181" t="s">
        <v>244</v>
      </c>
      <c r="D181" t="s">
        <v>237</v>
      </c>
      <c r="E181" t="s">
        <v>8</v>
      </c>
      <c r="F181" t="s">
        <v>245</v>
      </c>
      <c r="G181" t="s">
        <v>269</v>
      </c>
      <c r="H181">
        <v>8</v>
      </c>
      <c r="I181">
        <v>1421.21</v>
      </c>
      <c r="J181">
        <v>11369.68</v>
      </c>
    </row>
    <row r="182" spans="1:10">
      <c r="A182" t="s">
        <v>370</v>
      </c>
      <c r="B182" t="s">
        <v>235</v>
      </c>
      <c r="C182" t="s">
        <v>249</v>
      </c>
      <c r="D182" t="s">
        <v>232</v>
      </c>
      <c r="E182" t="s">
        <v>6</v>
      </c>
      <c r="F182" t="s">
        <v>250</v>
      </c>
      <c r="G182" t="s">
        <v>293</v>
      </c>
      <c r="H182">
        <v>1</v>
      </c>
      <c r="I182">
        <v>1544.87</v>
      </c>
      <c r="J182">
        <v>1544.87</v>
      </c>
    </row>
    <row r="183" spans="1:10">
      <c r="A183" t="s">
        <v>371</v>
      </c>
      <c r="B183" t="s">
        <v>240</v>
      </c>
      <c r="C183" t="s">
        <v>276</v>
      </c>
      <c r="D183" t="s">
        <v>247</v>
      </c>
      <c r="E183" t="s">
        <v>6</v>
      </c>
      <c r="F183" t="s">
        <v>250</v>
      </c>
      <c r="G183" t="s">
        <v>284</v>
      </c>
      <c r="H183">
        <v>14</v>
      </c>
      <c r="I183">
        <v>2764.71</v>
      </c>
      <c r="J183">
        <v>38705.94</v>
      </c>
    </row>
    <row r="184" spans="1:10">
      <c r="A184" s="26">
        <v>45023</v>
      </c>
      <c r="B184" t="s">
        <v>257</v>
      </c>
      <c r="C184" t="s">
        <v>258</v>
      </c>
      <c r="D184" t="s">
        <v>242</v>
      </c>
      <c r="E184" t="s">
        <v>8</v>
      </c>
      <c r="F184" t="s">
        <v>245</v>
      </c>
      <c r="G184" t="s">
        <v>246</v>
      </c>
      <c r="H184">
        <v>9</v>
      </c>
      <c r="I184">
        <v>2210.8000000000002</v>
      </c>
      <c r="J184">
        <v>19897.2</v>
      </c>
    </row>
    <row r="185" spans="1:10">
      <c r="A185" s="26">
        <v>44958</v>
      </c>
      <c r="B185" t="s">
        <v>240</v>
      </c>
      <c r="C185" t="s">
        <v>255</v>
      </c>
      <c r="D185" t="s">
        <v>237</v>
      </c>
      <c r="E185" t="s">
        <v>8</v>
      </c>
      <c r="F185" t="s">
        <v>233</v>
      </c>
      <c r="G185" t="s">
        <v>304</v>
      </c>
      <c r="H185">
        <v>3</v>
      </c>
      <c r="I185">
        <v>4359.8999999999996</v>
      </c>
      <c r="J185">
        <v>13079.7</v>
      </c>
    </row>
    <row r="186" spans="1:10">
      <c r="A186" t="s">
        <v>286</v>
      </c>
      <c r="B186" t="s">
        <v>268</v>
      </c>
      <c r="C186" t="s">
        <v>241</v>
      </c>
      <c r="D186" t="s">
        <v>242</v>
      </c>
      <c r="E186" t="s">
        <v>8</v>
      </c>
      <c r="F186" t="s">
        <v>233</v>
      </c>
      <c r="G186" t="s">
        <v>234</v>
      </c>
      <c r="H186">
        <v>7</v>
      </c>
      <c r="I186">
        <v>3836.77</v>
      </c>
      <c r="J186">
        <v>26857.39</v>
      </c>
    </row>
    <row r="187" spans="1:10">
      <c r="A187" t="s">
        <v>372</v>
      </c>
      <c r="B187" t="s">
        <v>260</v>
      </c>
      <c r="C187" t="s">
        <v>276</v>
      </c>
      <c r="D187" t="s">
        <v>247</v>
      </c>
      <c r="E187" t="s">
        <v>6</v>
      </c>
      <c r="F187" t="s">
        <v>238</v>
      </c>
      <c r="G187" t="s">
        <v>296</v>
      </c>
      <c r="H187">
        <v>7</v>
      </c>
      <c r="I187">
        <v>560.58000000000004</v>
      </c>
      <c r="J187">
        <v>3924.06</v>
      </c>
    </row>
    <row r="188" spans="1:10">
      <c r="A188" s="26">
        <v>45266</v>
      </c>
      <c r="B188" t="s">
        <v>254</v>
      </c>
      <c r="C188" t="s">
        <v>273</v>
      </c>
      <c r="D188" t="s">
        <v>252</v>
      </c>
      <c r="E188" t="s">
        <v>5</v>
      </c>
      <c r="F188" t="s">
        <v>259</v>
      </c>
      <c r="G188" t="s">
        <v>179</v>
      </c>
      <c r="H188">
        <v>17</v>
      </c>
      <c r="I188">
        <v>1574.45</v>
      </c>
      <c r="J188">
        <v>26765.65</v>
      </c>
    </row>
    <row r="189" spans="1:10">
      <c r="A189" s="26">
        <v>44960</v>
      </c>
      <c r="B189" t="s">
        <v>248</v>
      </c>
      <c r="C189" t="s">
        <v>273</v>
      </c>
      <c r="D189" t="s">
        <v>252</v>
      </c>
      <c r="E189" t="s">
        <v>5</v>
      </c>
      <c r="F189" t="s">
        <v>233</v>
      </c>
      <c r="G189" t="s">
        <v>234</v>
      </c>
      <c r="H189">
        <v>17</v>
      </c>
      <c r="I189">
        <v>578.66999999999996</v>
      </c>
      <c r="J189">
        <v>9837.39</v>
      </c>
    </row>
    <row r="190" spans="1:10">
      <c r="A190" t="s">
        <v>319</v>
      </c>
      <c r="B190" t="s">
        <v>260</v>
      </c>
      <c r="C190" t="s">
        <v>236</v>
      </c>
      <c r="D190" t="s">
        <v>237</v>
      </c>
      <c r="E190" t="s">
        <v>8</v>
      </c>
      <c r="F190" t="s">
        <v>250</v>
      </c>
      <c r="G190" t="s">
        <v>251</v>
      </c>
      <c r="H190">
        <v>19</v>
      </c>
      <c r="I190">
        <v>1441.02</v>
      </c>
      <c r="J190">
        <v>27379.38</v>
      </c>
    </row>
    <row r="191" spans="1:10">
      <c r="A191" t="s">
        <v>373</v>
      </c>
      <c r="B191" t="s">
        <v>230</v>
      </c>
      <c r="C191" t="s">
        <v>255</v>
      </c>
      <c r="D191" t="s">
        <v>237</v>
      </c>
      <c r="E191" t="s">
        <v>8</v>
      </c>
      <c r="F191" t="s">
        <v>233</v>
      </c>
      <c r="G191" t="s">
        <v>301</v>
      </c>
      <c r="H191">
        <v>19</v>
      </c>
      <c r="I191">
        <v>618.02</v>
      </c>
      <c r="J191">
        <v>11742.38</v>
      </c>
    </row>
    <row r="192" spans="1:10">
      <c r="A192" t="s">
        <v>359</v>
      </c>
      <c r="B192" t="s">
        <v>268</v>
      </c>
      <c r="C192" t="s">
        <v>316</v>
      </c>
      <c r="D192" t="s">
        <v>247</v>
      </c>
      <c r="E192" t="s">
        <v>6</v>
      </c>
      <c r="F192" t="s">
        <v>238</v>
      </c>
      <c r="G192" t="s">
        <v>256</v>
      </c>
      <c r="H192">
        <v>15</v>
      </c>
      <c r="I192">
        <v>4093.93</v>
      </c>
      <c r="J192">
        <v>61408.95</v>
      </c>
    </row>
    <row r="193" spans="1:10">
      <c r="A193" t="s">
        <v>345</v>
      </c>
      <c r="B193" t="s">
        <v>235</v>
      </c>
      <c r="C193" t="s">
        <v>261</v>
      </c>
      <c r="D193" t="s">
        <v>247</v>
      </c>
      <c r="E193" t="s">
        <v>6</v>
      </c>
      <c r="F193" t="s">
        <v>233</v>
      </c>
      <c r="G193" t="s">
        <v>287</v>
      </c>
      <c r="H193">
        <v>16</v>
      </c>
      <c r="I193">
        <v>2714.37</v>
      </c>
      <c r="J193">
        <v>43429.919999999998</v>
      </c>
    </row>
    <row r="194" spans="1:10">
      <c r="A194" t="s">
        <v>344</v>
      </c>
      <c r="B194" t="s">
        <v>257</v>
      </c>
      <c r="C194" t="s">
        <v>316</v>
      </c>
      <c r="D194" t="s">
        <v>247</v>
      </c>
      <c r="E194" t="s">
        <v>6</v>
      </c>
      <c r="F194" t="s">
        <v>245</v>
      </c>
      <c r="G194" t="s">
        <v>246</v>
      </c>
      <c r="H194">
        <v>8</v>
      </c>
      <c r="I194">
        <v>4658.57</v>
      </c>
      <c r="J194">
        <v>37268.559999999998</v>
      </c>
    </row>
    <row r="195" spans="1:10">
      <c r="A195" s="26">
        <v>45268</v>
      </c>
      <c r="B195" t="s">
        <v>260</v>
      </c>
      <c r="C195" t="s">
        <v>231</v>
      </c>
      <c r="D195" t="s">
        <v>232</v>
      </c>
      <c r="E195" t="s">
        <v>6</v>
      </c>
      <c r="F195" t="s">
        <v>238</v>
      </c>
      <c r="G195" t="s">
        <v>303</v>
      </c>
      <c r="H195">
        <v>20</v>
      </c>
      <c r="I195">
        <v>3203.76</v>
      </c>
      <c r="J195">
        <v>64075.199999999997</v>
      </c>
    </row>
    <row r="196" spans="1:10">
      <c r="A196" t="s">
        <v>272</v>
      </c>
      <c r="B196" t="s">
        <v>260</v>
      </c>
      <c r="C196" t="s">
        <v>281</v>
      </c>
      <c r="D196" t="s">
        <v>252</v>
      </c>
      <c r="E196" t="s">
        <v>5</v>
      </c>
      <c r="F196" t="s">
        <v>259</v>
      </c>
      <c r="G196" t="s">
        <v>298</v>
      </c>
      <c r="H196">
        <v>5</v>
      </c>
      <c r="I196">
        <v>3572.02</v>
      </c>
      <c r="J196">
        <v>17860.099999999999</v>
      </c>
    </row>
    <row r="197" spans="1:10">
      <c r="A197" t="s">
        <v>374</v>
      </c>
      <c r="B197" t="s">
        <v>230</v>
      </c>
      <c r="C197" t="s">
        <v>276</v>
      </c>
      <c r="D197" t="s">
        <v>247</v>
      </c>
      <c r="E197" t="s">
        <v>6</v>
      </c>
      <c r="F197" t="s">
        <v>250</v>
      </c>
      <c r="G197" t="s">
        <v>293</v>
      </c>
      <c r="H197">
        <v>4</v>
      </c>
      <c r="I197">
        <v>328.82</v>
      </c>
      <c r="J197">
        <v>1315.28</v>
      </c>
    </row>
    <row r="198" spans="1:10">
      <c r="A198" s="26">
        <v>45083</v>
      </c>
      <c r="B198" t="s">
        <v>230</v>
      </c>
      <c r="C198" t="s">
        <v>313</v>
      </c>
      <c r="D198" t="s">
        <v>252</v>
      </c>
      <c r="E198" t="s">
        <v>5</v>
      </c>
      <c r="F198" t="s">
        <v>238</v>
      </c>
      <c r="G198" t="s">
        <v>256</v>
      </c>
      <c r="H198">
        <v>10</v>
      </c>
      <c r="I198">
        <v>4210.63</v>
      </c>
      <c r="J198">
        <v>42106.3</v>
      </c>
    </row>
    <row r="199" spans="1:10">
      <c r="A199" t="s">
        <v>375</v>
      </c>
      <c r="B199" t="s">
        <v>248</v>
      </c>
      <c r="C199" t="s">
        <v>241</v>
      </c>
      <c r="D199" t="s">
        <v>242</v>
      </c>
      <c r="E199" t="s">
        <v>8</v>
      </c>
      <c r="F199" t="s">
        <v>245</v>
      </c>
      <c r="G199" t="s">
        <v>246</v>
      </c>
      <c r="H199">
        <v>15</v>
      </c>
      <c r="I199">
        <v>211.9</v>
      </c>
      <c r="J199">
        <v>3178.5</v>
      </c>
    </row>
    <row r="200" spans="1:10">
      <c r="A200" t="s">
        <v>376</v>
      </c>
      <c r="B200" t="s">
        <v>280</v>
      </c>
      <c r="C200" t="s">
        <v>281</v>
      </c>
      <c r="D200" t="s">
        <v>252</v>
      </c>
      <c r="E200" t="s">
        <v>5</v>
      </c>
      <c r="F200" t="s">
        <v>233</v>
      </c>
      <c r="G200" t="s">
        <v>234</v>
      </c>
      <c r="H200">
        <v>6</v>
      </c>
      <c r="I200">
        <v>1847.42</v>
      </c>
      <c r="J200">
        <v>11084.52</v>
      </c>
    </row>
    <row r="201" spans="1:10">
      <c r="A201" t="s">
        <v>377</v>
      </c>
      <c r="B201" t="s">
        <v>235</v>
      </c>
      <c r="C201" t="s">
        <v>281</v>
      </c>
      <c r="D201" t="s">
        <v>252</v>
      </c>
      <c r="E201" t="s">
        <v>5</v>
      </c>
      <c r="F201" t="s">
        <v>250</v>
      </c>
      <c r="G201" t="s">
        <v>277</v>
      </c>
      <c r="H201">
        <v>15</v>
      </c>
      <c r="I201">
        <v>3875.6</v>
      </c>
      <c r="J201">
        <v>58134</v>
      </c>
    </row>
    <row r="202" spans="1:10">
      <c r="A202" t="s">
        <v>378</v>
      </c>
      <c r="B202" t="s">
        <v>257</v>
      </c>
      <c r="C202" t="s">
        <v>281</v>
      </c>
      <c r="D202" t="s">
        <v>252</v>
      </c>
      <c r="E202" t="s">
        <v>5</v>
      </c>
      <c r="F202" t="s">
        <v>238</v>
      </c>
      <c r="G202" t="s">
        <v>256</v>
      </c>
      <c r="H202">
        <v>1</v>
      </c>
      <c r="I202">
        <v>1323.63</v>
      </c>
      <c r="J202">
        <v>1323.63</v>
      </c>
    </row>
    <row r="203" spans="1:10">
      <c r="A203" s="26">
        <v>44988</v>
      </c>
      <c r="B203" t="s">
        <v>271</v>
      </c>
      <c r="C203" t="s">
        <v>276</v>
      </c>
      <c r="D203" t="s">
        <v>247</v>
      </c>
      <c r="E203" t="s">
        <v>6</v>
      </c>
      <c r="F203" t="s">
        <v>259</v>
      </c>
      <c r="G203" t="s">
        <v>298</v>
      </c>
      <c r="H203">
        <v>18</v>
      </c>
      <c r="I203">
        <v>3916.11</v>
      </c>
      <c r="J203">
        <v>70489.98</v>
      </c>
    </row>
    <row r="204" spans="1:10">
      <c r="A204" t="s">
        <v>379</v>
      </c>
      <c r="B204" t="s">
        <v>240</v>
      </c>
      <c r="C204" t="s">
        <v>261</v>
      </c>
      <c r="D204" t="s">
        <v>247</v>
      </c>
      <c r="E204" t="s">
        <v>6</v>
      </c>
      <c r="F204" t="s">
        <v>233</v>
      </c>
      <c r="G204" t="s">
        <v>301</v>
      </c>
      <c r="H204">
        <v>16</v>
      </c>
      <c r="I204">
        <v>4624.91</v>
      </c>
      <c r="J204">
        <v>73998.559999999998</v>
      </c>
    </row>
    <row r="205" spans="1:10">
      <c r="A205" t="s">
        <v>265</v>
      </c>
      <c r="B205" t="s">
        <v>240</v>
      </c>
      <c r="C205" t="s">
        <v>231</v>
      </c>
      <c r="D205" t="s">
        <v>232</v>
      </c>
      <c r="E205" t="s">
        <v>6</v>
      </c>
      <c r="F205" t="s">
        <v>238</v>
      </c>
      <c r="G205" t="s">
        <v>303</v>
      </c>
      <c r="H205">
        <v>8</v>
      </c>
      <c r="I205">
        <v>4091.1</v>
      </c>
      <c r="J205">
        <v>32728.799999999999</v>
      </c>
    </row>
    <row r="206" spans="1:10">
      <c r="A206" t="s">
        <v>380</v>
      </c>
      <c r="B206" t="s">
        <v>230</v>
      </c>
      <c r="C206" t="s">
        <v>231</v>
      </c>
      <c r="D206" t="s">
        <v>232</v>
      </c>
      <c r="E206" t="s">
        <v>6</v>
      </c>
      <c r="F206" t="s">
        <v>233</v>
      </c>
      <c r="G206" t="s">
        <v>301</v>
      </c>
      <c r="H206">
        <v>16</v>
      </c>
      <c r="I206">
        <v>3369.55</v>
      </c>
      <c r="J206">
        <v>53912.800000000003</v>
      </c>
    </row>
    <row r="207" spans="1:10">
      <c r="A207" s="26">
        <v>45209</v>
      </c>
      <c r="B207" t="s">
        <v>254</v>
      </c>
      <c r="C207" t="s">
        <v>283</v>
      </c>
      <c r="D207" t="s">
        <v>242</v>
      </c>
      <c r="E207" t="s">
        <v>8</v>
      </c>
      <c r="F207" t="s">
        <v>233</v>
      </c>
      <c r="G207" t="s">
        <v>287</v>
      </c>
      <c r="H207">
        <v>3</v>
      </c>
      <c r="I207">
        <v>3591.92</v>
      </c>
      <c r="J207">
        <v>10775.76</v>
      </c>
    </row>
    <row r="208" spans="1:10">
      <c r="A208" t="s">
        <v>381</v>
      </c>
      <c r="B208" t="s">
        <v>268</v>
      </c>
      <c r="C208" t="s">
        <v>249</v>
      </c>
      <c r="D208" t="s">
        <v>232</v>
      </c>
      <c r="E208" t="s">
        <v>6</v>
      </c>
      <c r="F208" t="s">
        <v>245</v>
      </c>
      <c r="G208" t="s">
        <v>246</v>
      </c>
      <c r="H208">
        <v>4</v>
      </c>
      <c r="I208">
        <v>4298.3500000000004</v>
      </c>
      <c r="J208">
        <v>17193.400000000001</v>
      </c>
    </row>
    <row r="209" spans="1:10">
      <c r="A209" s="26">
        <v>45115</v>
      </c>
      <c r="B209" t="s">
        <v>230</v>
      </c>
      <c r="C209" t="s">
        <v>276</v>
      </c>
      <c r="D209" t="s">
        <v>247</v>
      </c>
      <c r="E209" t="s">
        <v>6</v>
      </c>
      <c r="F209" t="s">
        <v>238</v>
      </c>
      <c r="G209" t="s">
        <v>296</v>
      </c>
      <c r="H209">
        <v>11</v>
      </c>
      <c r="I209">
        <v>3687.73</v>
      </c>
      <c r="J209">
        <v>40565.03</v>
      </c>
    </row>
    <row r="210" spans="1:10">
      <c r="A210" t="s">
        <v>366</v>
      </c>
      <c r="B210" t="s">
        <v>235</v>
      </c>
      <c r="C210" t="s">
        <v>261</v>
      </c>
      <c r="D210" t="s">
        <v>247</v>
      </c>
      <c r="E210" t="s">
        <v>6</v>
      </c>
      <c r="F210" t="s">
        <v>250</v>
      </c>
      <c r="G210" t="s">
        <v>293</v>
      </c>
      <c r="H210">
        <v>12</v>
      </c>
      <c r="I210">
        <v>548.36</v>
      </c>
      <c r="J210">
        <v>6580.32</v>
      </c>
    </row>
    <row r="211" spans="1:10">
      <c r="A211" s="26">
        <v>45175</v>
      </c>
      <c r="B211" t="s">
        <v>260</v>
      </c>
      <c r="C211" t="s">
        <v>241</v>
      </c>
      <c r="D211" t="s">
        <v>242</v>
      </c>
      <c r="E211" t="s">
        <v>8</v>
      </c>
      <c r="F211" t="s">
        <v>245</v>
      </c>
      <c r="G211" t="s">
        <v>246</v>
      </c>
      <c r="H211">
        <v>6</v>
      </c>
      <c r="I211">
        <v>3931.61</v>
      </c>
      <c r="J211">
        <v>23589.66</v>
      </c>
    </row>
    <row r="212" spans="1:10">
      <c r="A212" s="26">
        <v>45237</v>
      </c>
      <c r="B212" t="s">
        <v>230</v>
      </c>
      <c r="C212" t="s">
        <v>231</v>
      </c>
      <c r="D212" t="s">
        <v>232</v>
      </c>
      <c r="E212" t="s">
        <v>6</v>
      </c>
      <c r="F212" t="s">
        <v>245</v>
      </c>
      <c r="G212" t="s">
        <v>266</v>
      </c>
      <c r="H212">
        <v>18</v>
      </c>
      <c r="I212">
        <v>1120.0999999999999</v>
      </c>
      <c r="J212">
        <v>20161.8</v>
      </c>
    </row>
    <row r="213" spans="1:10">
      <c r="A213" t="s">
        <v>382</v>
      </c>
      <c r="B213" t="s">
        <v>271</v>
      </c>
      <c r="C213" t="s">
        <v>258</v>
      </c>
      <c r="D213" t="s">
        <v>242</v>
      </c>
      <c r="E213" t="s">
        <v>8</v>
      </c>
      <c r="F213" t="s">
        <v>238</v>
      </c>
      <c r="G213" t="s">
        <v>303</v>
      </c>
      <c r="H213">
        <v>11</v>
      </c>
      <c r="I213">
        <v>1473.35</v>
      </c>
      <c r="J213">
        <v>16206.85</v>
      </c>
    </row>
    <row r="214" spans="1:10">
      <c r="A214" t="s">
        <v>383</v>
      </c>
      <c r="B214" t="s">
        <v>248</v>
      </c>
      <c r="C214" t="s">
        <v>276</v>
      </c>
      <c r="D214" t="s">
        <v>247</v>
      </c>
      <c r="E214" t="s">
        <v>6</v>
      </c>
      <c r="F214" t="s">
        <v>259</v>
      </c>
      <c r="G214" t="s">
        <v>182</v>
      </c>
      <c r="H214">
        <v>6</v>
      </c>
      <c r="I214">
        <v>297.27</v>
      </c>
      <c r="J214">
        <v>1783.62</v>
      </c>
    </row>
    <row r="215" spans="1:10">
      <c r="A215" t="s">
        <v>384</v>
      </c>
      <c r="B215" t="s">
        <v>230</v>
      </c>
      <c r="C215" t="s">
        <v>249</v>
      </c>
      <c r="D215" t="s">
        <v>232</v>
      </c>
      <c r="E215" t="s">
        <v>6</v>
      </c>
      <c r="F215" t="s">
        <v>250</v>
      </c>
      <c r="G215" t="s">
        <v>277</v>
      </c>
      <c r="H215">
        <v>5</v>
      </c>
      <c r="I215">
        <v>4872.8900000000003</v>
      </c>
      <c r="J215">
        <v>24364.45</v>
      </c>
    </row>
    <row r="216" spans="1:10">
      <c r="A216" t="s">
        <v>335</v>
      </c>
      <c r="B216" t="s">
        <v>257</v>
      </c>
      <c r="C216" t="s">
        <v>273</v>
      </c>
      <c r="D216" t="s">
        <v>252</v>
      </c>
      <c r="E216" t="s">
        <v>5</v>
      </c>
      <c r="F216" t="s">
        <v>250</v>
      </c>
      <c r="G216" t="s">
        <v>284</v>
      </c>
      <c r="H216">
        <v>20</v>
      </c>
      <c r="I216">
        <v>4711.51</v>
      </c>
      <c r="J216">
        <v>94230.2</v>
      </c>
    </row>
    <row r="217" spans="1:10">
      <c r="A217" t="s">
        <v>342</v>
      </c>
      <c r="B217" t="s">
        <v>280</v>
      </c>
      <c r="C217" t="s">
        <v>276</v>
      </c>
      <c r="D217" t="s">
        <v>247</v>
      </c>
      <c r="E217" t="s">
        <v>6</v>
      </c>
      <c r="F217" t="s">
        <v>259</v>
      </c>
      <c r="G217" t="s">
        <v>182</v>
      </c>
      <c r="H217">
        <v>5</v>
      </c>
      <c r="I217">
        <v>4096.54</v>
      </c>
      <c r="J217">
        <v>20482.7</v>
      </c>
    </row>
    <row r="218" spans="1:10">
      <c r="A218" t="s">
        <v>243</v>
      </c>
      <c r="B218" t="s">
        <v>260</v>
      </c>
      <c r="C218" t="s">
        <v>273</v>
      </c>
      <c r="D218" t="s">
        <v>252</v>
      </c>
      <c r="E218" t="s">
        <v>5</v>
      </c>
      <c r="F218" t="s">
        <v>250</v>
      </c>
      <c r="G218" t="s">
        <v>284</v>
      </c>
      <c r="H218">
        <v>6</v>
      </c>
      <c r="I218">
        <v>830.82</v>
      </c>
      <c r="J218">
        <v>4984.92</v>
      </c>
    </row>
    <row r="219" spans="1:10">
      <c r="A219" s="26">
        <v>44992</v>
      </c>
      <c r="B219" t="s">
        <v>268</v>
      </c>
      <c r="C219" t="s">
        <v>281</v>
      </c>
      <c r="D219" t="s">
        <v>252</v>
      </c>
      <c r="E219" t="s">
        <v>5</v>
      </c>
      <c r="F219" t="s">
        <v>250</v>
      </c>
      <c r="G219" t="s">
        <v>251</v>
      </c>
      <c r="H219">
        <v>3</v>
      </c>
      <c r="I219">
        <v>4637.38</v>
      </c>
      <c r="J219">
        <v>13912.14</v>
      </c>
    </row>
    <row r="220" spans="1:10">
      <c r="A220" s="26">
        <v>44959</v>
      </c>
      <c r="B220" t="s">
        <v>271</v>
      </c>
      <c r="C220" t="s">
        <v>241</v>
      </c>
      <c r="D220" t="s">
        <v>242</v>
      </c>
      <c r="E220" t="s">
        <v>8</v>
      </c>
      <c r="F220" t="s">
        <v>238</v>
      </c>
      <c r="G220" t="s">
        <v>239</v>
      </c>
      <c r="H220">
        <v>5</v>
      </c>
      <c r="I220">
        <v>3770.1</v>
      </c>
      <c r="J220">
        <v>18850.5</v>
      </c>
    </row>
    <row r="221" spans="1:10">
      <c r="A221" t="s">
        <v>294</v>
      </c>
      <c r="B221" t="s">
        <v>254</v>
      </c>
      <c r="C221" t="s">
        <v>283</v>
      </c>
      <c r="D221" t="s">
        <v>242</v>
      </c>
      <c r="E221" t="s">
        <v>8</v>
      </c>
      <c r="F221" t="s">
        <v>250</v>
      </c>
      <c r="G221" t="s">
        <v>277</v>
      </c>
      <c r="H221">
        <v>20</v>
      </c>
      <c r="I221">
        <v>285.95999999999998</v>
      </c>
      <c r="J221">
        <v>5719.2</v>
      </c>
    </row>
    <row r="222" spans="1:10">
      <c r="A222" s="26">
        <v>45142</v>
      </c>
      <c r="B222" t="s">
        <v>257</v>
      </c>
      <c r="C222" t="s">
        <v>281</v>
      </c>
      <c r="D222" t="s">
        <v>252</v>
      </c>
      <c r="E222" t="s">
        <v>5</v>
      </c>
      <c r="F222" t="s">
        <v>233</v>
      </c>
      <c r="G222" t="s">
        <v>304</v>
      </c>
      <c r="H222">
        <v>6</v>
      </c>
      <c r="I222">
        <v>1912.36</v>
      </c>
      <c r="J222">
        <v>11474.16</v>
      </c>
    </row>
    <row r="223" spans="1:10">
      <c r="A223" t="s">
        <v>385</v>
      </c>
      <c r="B223" t="s">
        <v>235</v>
      </c>
      <c r="C223" t="s">
        <v>316</v>
      </c>
      <c r="D223" t="s">
        <v>247</v>
      </c>
      <c r="E223" t="s">
        <v>6</v>
      </c>
      <c r="F223" t="s">
        <v>245</v>
      </c>
      <c r="G223" t="s">
        <v>246</v>
      </c>
      <c r="H223">
        <v>19</v>
      </c>
      <c r="I223">
        <v>3648.27</v>
      </c>
      <c r="J223">
        <v>69317.13</v>
      </c>
    </row>
    <row r="224" spans="1:10">
      <c r="A224" s="26">
        <v>45022</v>
      </c>
      <c r="B224" t="s">
        <v>240</v>
      </c>
      <c r="C224" t="s">
        <v>241</v>
      </c>
      <c r="D224" t="s">
        <v>242</v>
      </c>
      <c r="E224" t="s">
        <v>8</v>
      </c>
      <c r="F224" t="s">
        <v>233</v>
      </c>
      <c r="G224" t="s">
        <v>301</v>
      </c>
      <c r="H224">
        <v>20</v>
      </c>
      <c r="I224">
        <v>473.23</v>
      </c>
      <c r="J224">
        <v>9464.6</v>
      </c>
    </row>
    <row r="225" spans="1:10">
      <c r="A225" t="s">
        <v>314</v>
      </c>
      <c r="B225" t="s">
        <v>230</v>
      </c>
      <c r="C225" t="s">
        <v>244</v>
      </c>
      <c r="D225" t="s">
        <v>237</v>
      </c>
      <c r="E225" t="s">
        <v>8</v>
      </c>
      <c r="F225" t="s">
        <v>259</v>
      </c>
      <c r="G225" t="s">
        <v>179</v>
      </c>
      <c r="H225">
        <v>16</v>
      </c>
      <c r="I225">
        <v>1870.47</v>
      </c>
      <c r="J225">
        <v>29927.52</v>
      </c>
    </row>
    <row r="226" spans="1:10">
      <c r="A226" t="s">
        <v>386</v>
      </c>
      <c r="B226" t="s">
        <v>260</v>
      </c>
      <c r="C226" t="s">
        <v>313</v>
      </c>
      <c r="D226" t="s">
        <v>252</v>
      </c>
      <c r="E226" t="s">
        <v>5</v>
      </c>
      <c r="F226" t="s">
        <v>250</v>
      </c>
      <c r="G226" t="s">
        <v>284</v>
      </c>
      <c r="H226">
        <v>18</v>
      </c>
      <c r="I226">
        <v>835.8</v>
      </c>
      <c r="J226">
        <v>15044.4</v>
      </c>
    </row>
    <row r="227" spans="1:10">
      <c r="A227" s="26">
        <v>44992</v>
      </c>
      <c r="B227" t="s">
        <v>280</v>
      </c>
      <c r="C227" t="s">
        <v>231</v>
      </c>
      <c r="D227" t="s">
        <v>232</v>
      </c>
      <c r="E227" t="s">
        <v>6</v>
      </c>
      <c r="F227" t="s">
        <v>238</v>
      </c>
      <c r="G227" t="s">
        <v>296</v>
      </c>
      <c r="H227">
        <v>18</v>
      </c>
      <c r="I227">
        <v>4850.91</v>
      </c>
      <c r="J227">
        <v>87316.38</v>
      </c>
    </row>
    <row r="228" spans="1:10">
      <c r="A228" t="s">
        <v>265</v>
      </c>
      <c r="B228" t="s">
        <v>240</v>
      </c>
      <c r="C228" t="s">
        <v>274</v>
      </c>
      <c r="D228" t="s">
        <v>232</v>
      </c>
      <c r="E228" t="s">
        <v>6</v>
      </c>
      <c r="F228" t="s">
        <v>233</v>
      </c>
      <c r="G228" t="s">
        <v>234</v>
      </c>
      <c r="H228">
        <v>10</v>
      </c>
      <c r="I228">
        <v>2200.91</v>
      </c>
      <c r="J228">
        <v>22009.1</v>
      </c>
    </row>
    <row r="229" spans="1:10">
      <c r="A229" s="26">
        <v>45211</v>
      </c>
      <c r="B229" t="s">
        <v>271</v>
      </c>
      <c r="C229" t="s">
        <v>258</v>
      </c>
      <c r="D229" t="s">
        <v>242</v>
      </c>
      <c r="E229" t="s">
        <v>8</v>
      </c>
      <c r="F229" t="s">
        <v>259</v>
      </c>
      <c r="G229" t="s">
        <v>179</v>
      </c>
      <c r="H229">
        <v>9</v>
      </c>
      <c r="I229">
        <v>1694.83</v>
      </c>
      <c r="J229">
        <v>15253.47</v>
      </c>
    </row>
    <row r="230" spans="1:10">
      <c r="A230" s="26">
        <v>45079</v>
      </c>
      <c r="B230" t="s">
        <v>280</v>
      </c>
      <c r="C230" t="s">
        <v>236</v>
      </c>
      <c r="D230" t="s">
        <v>237</v>
      </c>
      <c r="E230" t="s">
        <v>8</v>
      </c>
      <c r="F230" t="s">
        <v>233</v>
      </c>
      <c r="G230" t="s">
        <v>301</v>
      </c>
      <c r="H230">
        <v>10</v>
      </c>
      <c r="I230">
        <v>1229.56</v>
      </c>
      <c r="J230">
        <v>12295.6</v>
      </c>
    </row>
    <row r="231" spans="1:10">
      <c r="A231" t="s">
        <v>267</v>
      </c>
      <c r="B231" t="s">
        <v>280</v>
      </c>
      <c r="C231" t="s">
        <v>276</v>
      </c>
      <c r="D231" t="s">
        <v>247</v>
      </c>
      <c r="E231" t="s">
        <v>6</v>
      </c>
      <c r="F231" t="s">
        <v>250</v>
      </c>
      <c r="G231" t="s">
        <v>251</v>
      </c>
      <c r="H231">
        <v>14</v>
      </c>
      <c r="I231">
        <v>705.15</v>
      </c>
      <c r="J231">
        <v>9872.1</v>
      </c>
    </row>
    <row r="232" spans="1:10">
      <c r="A232" t="s">
        <v>387</v>
      </c>
      <c r="B232" t="s">
        <v>268</v>
      </c>
      <c r="C232" t="s">
        <v>281</v>
      </c>
      <c r="D232" t="s">
        <v>252</v>
      </c>
      <c r="E232" t="s">
        <v>5</v>
      </c>
      <c r="F232" t="s">
        <v>245</v>
      </c>
      <c r="G232" t="s">
        <v>266</v>
      </c>
      <c r="H232">
        <v>19</v>
      </c>
      <c r="I232">
        <v>3485.85</v>
      </c>
      <c r="J232">
        <v>66231.149999999994</v>
      </c>
    </row>
    <row r="233" spans="1:10">
      <c r="A233" t="s">
        <v>388</v>
      </c>
      <c r="B233" t="s">
        <v>235</v>
      </c>
      <c r="C233" t="s">
        <v>273</v>
      </c>
      <c r="D233" t="s">
        <v>252</v>
      </c>
      <c r="E233" t="s">
        <v>5</v>
      </c>
      <c r="F233" t="s">
        <v>259</v>
      </c>
      <c r="G233" t="s">
        <v>179</v>
      </c>
      <c r="H233">
        <v>10</v>
      </c>
      <c r="I233">
        <v>3633.26</v>
      </c>
      <c r="J233">
        <v>36332.6</v>
      </c>
    </row>
    <row r="234" spans="1:10">
      <c r="A234" s="26">
        <v>45208</v>
      </c>
      <c r="B234" t="s">
        <v>268</v>
      </c>
      <c r="C234" t="s">
        <v>231</v>
      </c>
      <c r="D234" t="s">
        <v>232</v>
      </c>
      <c r="E234" t="s">
        <v>6</v>
      </c>
      <c r="F234" t="s">
        <v>250</v>
      </c>
      <c r="G234" t="s">
        <v>293</v>
      </c>
      <c r="H234">
        <v>14</v>
      </c>
      <c r="I234">
        <v>1245.9000000000001</v>
      </c>
      <c r="J234">
        <v>17442.599999999999</v>
      </c>
    </row>
    <row r="235" spans="1:10">
      <c r="A235" t="s">
        <v>389</v>
      </c>
      <c r="B235" t="s">
        <v>248</v>
      </c>
      <c r="C235" t="s">
        <v>273</v>
      </c>
      <c r="D235" t="s">
        <v>252</v>
      </c>
      <c r="E235" t="s">
        <v>5</v>
      </c>
      <c r="F235" t="s">
        <v>233</v>
      </c>
      <c r="G235" t="s">
        <v>234</v>
      </c>
      <c r="H235">
        <v>4</v>
      </c>
      <c r="I235">
        <v>4553.5200000000004</v>
      </c>
      <c r="J235">
        <v>18214.080000000002</v>
      </c>
    </row>
    <row r="236" spans="1:10">
      <c r="A236" s="26">
        <v>45146</v>
      </c>
      <c r="B236" t="s">
        <v>235</v>
      </c>
      <c r="C236" t="s">
        <v>274</v>
      </c>
      <c r="D236" t="s">
        <v>232</v>
      </c>
      <c r="E236" t="s">
        <v>6</v>
      </c>
      <c r="F236" t="s">
        <v>233</v>
      </c>
      <c r="G236" t="s">
        <v>287</v>
      </c>
      <c r="H236">
        <v>3</v>
      </c>
      <c r="I236">
        <v>1417.18</v>
      </c>
      <c r="J236">
        <v>4251.54</v>
      </c>
    </row>
    <row r="237" spans="1:10">
      <c r="A237" t="s">
        <v>390</v>
      </c>
      <c r="B237" t="s">
        <v>257</v>
      </c>
      <c r="C237" t="s">
        <v>231</v>
      </c>
      <c r="D237" t="s">
        <v>232</v>
      </c>
      <c r="E237" t="s">
        <v>6</v>
      </c>
      <c r="F237" t="s">
        <v>259</v>
      </c>
      <c r="G237" t="s">
        <v>299</v>
      </c>
      <c r="H237">
        <v>7</v>
      </c>
      <c r="I237">
        <v>1249.3599999999999</v>
      </c>
      <c r="J237">
        <v>8745.52</v>
      </c>
    </row>
    <row r="238" spans="1:10">
      <c r="A238" t="s">
        <v>344</v>
      </c>
      <c r="B238" t="s">
        <v>254</v>
      </c>
      <c r="C238" t="s">
        <v>236</v>
      </c>
      <c r="D238" t="s">
        <v>237</v>
      </c>
      <c r="E238" t="s">
        <v>8</v>
      </c>
      <c r="F238" t="s">
        <v>245</v>
      </c>
      <c r="G238" t="s">
        <v>295</v>
      </c>
      <c r="H238">
        <v>7</v>
      </c>
      <c r="I238">
        <v>3911.96</v>
      </c>
      <c r="J238">
        <v>27383.72</v>
      </c>
    </row>
    <row r="239" spans="1:10">
      <c r="A239" t="s">
        <v>321</v>
      </c>
      <c r="B239" t="s">
        <v>248</v>
      </c>
      <c r="C239" t="s">
        <v>258</v>
      </c>
      <c r="D239" t="s">
        <v>242</v>
      </c>
      <c r="E239" t="s">
        <v>8</v>
      </c>
      <c r="F239" t="s">
        <v>245</v>
      </c>
      <c r="G239" t="s">
        <v>266</v>
      </c>
      <c r="H239">
        <v>4</v>
      </c>
      <c r="I239">
        <v>3087.87</v>
      </c>
      <c r="J239">
        <v>12351.48</v>
      </c>
    </row>
    <row r="240" spans="1:10">
      <c r="A240" s="26">
        <v>45241</v>
      </c>
      <c r="B240" t="s">
        <v>248</v>
      </c>
      <c r="C240" t="s">
        <v>231</v>
      </c>
      <c r="D240" t="s">
        <v>232</v>
      </c>
      <c r="E240" t="s">
        <v>6</v>
      </c>
      <c r="F240" t="s">
        <v>259</v>
      </c>
      <c r="G240" t="s">
        <v>299</v>
      </c>
      <c r="H240">
        <v>16</v>
      </c>
      <c r="I240">
        <v>628.15</v>
      </c>
      <c r="J240">
        <v>10050.4</v>
      </c>
    </row>
    <row r="241" spans="1:10">
      <c r="A241" t="s">
        <v>391</v>
      </c>
      <c r="B241" t="s">
        <v>257</v>
      </c>
      <c r="C241" t="s">
        <v>241</v>
      </c>
      <c r="D241" t="s">
        <v>242</v>
      </c>
      <c r="E241" t="s">
        <v>8</v>
      </c>
      <c r="F241" t="s">
        <v>250</v>
      </c>
      <c r="G241" t="s">
        <v>293</v>
      </c>
      <c r="H241">
        <v>15</v>
      </c>
      <c r="I241">
        <v>3100.61</v>
      </c>
      <c r="J241">
        <v>46509.15</v>
      </c>
    </row>
    <row r="242" spans="1:10">
      <c r="A242" t="s">
        <v>392</v>
      </c>
      <c r="B242" t="s">
        <v>235</v>
      </c>
      <c r="C242" t="s">
        <v>258</v>
      </c>
      <c r="D242" t="s">
        <v>242</v>
      </c>
      <c r="E242" t="s">
        <v>8</v>
      </c>
      <c r="F242" t="s">
        <v>245</v>
      </c>
      <c r="G242" t="s">
        <v>266</v>
      </c>
      <c r="H242">
        <v>10</v>
      </c>
      <c r="I242">
        <v>4017.66</v>
      </c>
      <c r="J242">
        <v>40176.6</v>
      </c>
    </row>
    <row r="243" spans="1:10">
      <c r="A243" t="s">
        <v>393</v>
      </c>
      <c r="B243" t="s">
        <v>235</v>
      </c>
      <c r="C243" t="s">
        <v>283</v>
      </c>
      <c r="D243" t="s">
        <v>242</v>
      </c>
      <c r="E243" t="s">
        <v>8</v>
      </c>
      <c r="F243" t="s">
        <v>233</v>
      </c>
      <c r="G243" t="s">
        <v>287</v>
      </c>
      <c r="H243">
        <v>3</v>
      </c>
      <c r="I243">
        <v>3389.2</v>
      </c>
      <c r="J243">
        <v>10167.6</v>
      </c>
    </row>
    <row r="244" spans="1:10">
      <c r="A244" t="s">
        <v>318</v>
      </c>
      <c r="B244" t="s">
        <v>240</v>
      </c>
      <c r="C244" t="s">
        <v>231</v>
      </c>
      <c r="D244" t="s">
        <v>232</v>
      </c>
      <c r="E244" t="s">
        <v>6</v>
      </c>
      <c r="F244" t="s">
        <v>250</v>
      </c>
      <c r="G244" t="s">
        <v>251</v>
      </c>
      <c r="H244">
        <v>20</v>
      </c>
      <c r="I244">
        <v>2441.83</v>
      </c>
      <c r="J244">
        <v>48836.6</v>
      </c>
    </row>
    <row r="245" spans="1:10">
      <c r="A245" s="26">
        <v>45181</v>
      </c>
      <c r="B245" t="s">
        <v>235</v>
      </c>
      <c r="C245" t="s">
        <v>313</v>
      </c>
      <c r="D245" t="s">
        <v>252</v>
      </c>
      <c r="E245" t="s">
        <v>5</v>
      </c>
      <c r="F245" t="s">
        <v>233</v>
      </c>
      <c r="G245" t="s">
        <v>301</v>
      </c>
      <c r="H245">
        <v>17</v>
      </c>
      <c r="I245">
        <v>2655.98</v>
      </c>
      <c r="J245">
        <v>45151.66</v>
      </c>
    </row>
    <row r="246" spans="1:10">
      <c r="A246" s="26">
        <v>44986</v>
      </c>
      <c r="B246" t="s">
        <v>235</v>
      </c>
      <c r="C246" t="s">
        <v>258</v>
      </c>
      <c r="D246" t="s">
        <v>242</v>
      </c>
      <c r="E246" t="s">
        <v>8</v>
      </c>
      <c r="F246" t="s">
        <v>259</v>
      </c>
      <c r="G246" t="s">
        <v>299</v>
      </c>
      <c r="H246">
        <v>3</v>
      </c>
      <c r="I246">
        <v>4908.74</v>
      </c>
      <c r="J246">
        <v>14726.22</v>
      </c>
    </row>
    <row r="247" spans="1:10">
      <c r="A247" t="s">
        <v>348</v>
      </c>
      <c r="B247" t="s">
        <v>268</v>
      </c>
      <c r="C247" t="s">
        <v>281</v>
      </c>
      <c r="D247" t="s">
        <v>252</v>
      </c>
      <c r="E247" t="s">
        <v>5</v>
      </c>
      <c r="F247" t="s">
        <v>259</v>
      </c>
      <c r="G247" t="s">
        <v>299</v>
      </c>
      <c r="H247">
        <v>13</v>
      </c>
      <c r="I247">
        <v>4121.8</v>
      </c>
      <c r="J247">
        <v>53583.4</v>
      </c>
    </row>
    <row r="248" spans="1:10">
      <c r="A248" s="26">
        <v>45080</v>
      </c>
      <c r="B248" t="s">
        <v>280</v>
      </c>
      <c r="C248" t="s">
        <v>231</v>
      </c>
      <c r="D248" t="s">
        <v>232</v>
      </c>
      <c r="E248" t="s">
        <v>6</v>
      </c>
      <c r="F248" t="s">
        <v>259</v>
      </c>
      <c r="G248" t="s">
        <v>299</v>
      </c>
      <c r="H248">
        <v>7</v>
      </c>
      <c r="I248">
        <v>2083.7800000000002</v>
      </c>
      <c r="J248">
        <v>14586.46</v>
      </c>
    </row>
    <row r="249" spans="1:10">
      <c r="A249" s="26">
        <v>45201</v>
      </c>
      <c r="B249" t="s">
        <v>257</v>
      </c>
      <c r="C249" t="s">
        <v>274</v>
      </c>
      <c r="D249" t="s">
        <v>232</v>
      </c>
      <c r="E249" t="s">
        <v>6</v>
      </c>
      <c r="F249" t="s">
        <v>245</v>
      </c>
      <c r="G249" t="s">
        <v>295</v>
      </c>
      <c r="H249">
        <v>4</v>
      </c>
      <c r="I249">
        <v>697.88</v>
      </c>
      <c r="J249">
        <v>2791.52</v>
      </c>
    </row>
    <row r="250" spans="1:10">
      <c r="A250" s="26">
        <v>44930</v>
      </c>
      <c r="B250" t="s">
        <v>280</v>
      </c>
      <c r="C250" t="s">
        <v>273</v>
      </c>
      <c r="D250" t="s">
        <v>252</v>
      </c>
      <c r="E250" t="s">
        <v>5</v>
      </c>
      <c r="F250" t="s">
        <v>259</v>
      </c>
      <c r="G250" t="s">
        <v>298</v>
      </c>
      <c r="H250">
        <v>3</v>
      </c>
      <c r="I250">
        <v>3754.7</v>
      </c>
      <c r="J250">
        <v>11264.1</v>
      </c>
    </row>
    <row r="251" spans="1:10">
      <c r="A251" t="s">
        <v>394</v>
      </c>
      <c r="B251" t="s">
        <v>240</v>
      </c>
      <c r="C251" t="s">
        <v>236</v>
      </c>
      <c r="D251" t="s">
        <v>237</v>
      </c>
      <c r="E251" t="s">
        <v>8</v>
      </c>
      <c r="F251" t="s">
        <v>233</v>
      </c>
      <c r="G251" t="s">
        <v>304</v>
      </c>
      <c r="H251">
        <v>20</v>
      </c>
      <c r="I251">
        <v>2449.44</v>
      </c>
      <c r="J251">
        <v>48988.800000000003</v>
      </c>
    </row>
    <row r="252" spans="1:10">
      <c r="A252" s="26">
        <v>44964</v>
      </c>
      <c r="B252" t="s">
        <v>248</v>
      </c>
      <c r="C252" t="s">
        <v>255</v>
      </c>
      <c r="D252" t="s">
        <v>237</v>
      </c>
      <c r="E252" t="s">
        <v>8</v>
      </c>
      <c r="F252" t="s">
        <v>259</v>
      </c>
      <c r="G252" t="s">
        <v>182</v>
      </c>
      <c r="H252">
        <v>6</v>
      </c>
      <c r="I252">
        <v>2862.86</v>
      </c>
      <c r="J252">
        <v>17177.16</v>
      </c>
    </row>
    <row r="253" spans="1:10">
      <c r="A253" t="s">
        <v>395</v>
      </c>
      <c r="B253" t="s">
        <v>260</v>
      </c>
      <c r="C253" t="s">
        <v>255</v>
      </c>
      <c r="D253" t="s">
        <v>237</v>
      </c>
      <c r="E253" t="s">
        <v>8</v>
      </c>
      <c r="F253" t="s">
        <v>238</v>
      </c>
      <c r="G253" t="s">
        <v>239</v>
      </c>
      <c r="H253">
        <v>4</v>
      </c>
      <c r="I253">
        <v>4795.3999999999996</v>
      </c>
      <c r="J253">
        <v>19181.599999999999</v>
      </c>
    </row>
    <row r="254" spans="1:10">
      <c r="A254" s="26">
        <v>45271</v>
      </c>
      <c r="B254" t="s">
        <v>260</v>
      </c>
      <c r="C254" t="s">
        <v>273</v>
      </c>
      <c r="D254" t="s">
        <v>252</v>
      </c>
      <c r="E254" t="s">
        <v>5</v>
      </c>
      <c r="F254" t="s">
        <v>233</v>
      </c>
      <c r="G254" t="s">
        <v>301</v>
      </c>
      <c r="H254">
        <v>3</v>
      </c>
      <c r="I254">
        <v>672.84</v>
      </c>
      <c r="J254">
        <v>2018.52</v>
      </c>
    </row>
    <row r="255" spans="1:10">
      <c r="A255" s="26">
        <v>45086</v>
      </c>
      <c r="B255" t="s">
        <v>280</v>
      </c>
      <c r="C255" t="s">
        <v>283</v>
      </c>
      <c r="D255" t="s">
        <v>242</v>
      </c>
      <c r="E255" t="s">
        <v>8</v>
      </c>
      <c r="F255" t="s">
        <v>233</v>
      </c>
      <c r="G255" t="s">
        <v>304</v>
      </c>
      <c r="H255">
        <v>5</v>
      </c>
      <c r="I255">
        <v>4423.53</v>
      </c>
      <c r="J255">
        <v>22117.65</v>
      </c>
    </row>
    <row r="256" spans="1:10">
      <c r="A256" s="26">
        <v>44990</v>
      </c>
      <c r="B256" t="s">
        <v>260</v>
      </c>
      <c r="C256" t="s">
        <v>255</v>
      </c>
      <c r="D256" t="s">
        <v>237</v>
      </c>
      <c r="E256" t="s">
        <v>8</v>
      </c>
      <c r="F256" t="s">
        <v>233</v>
      </c>
      <c r="G256" t="s">
        <v>304</v>
      </c>
      <c r="H256">
        <v>13</v>
      </c>
      <c r="I256">
        <v>1330.85</v>
      </c>
      <c r="J256">
        <v>17301.05</v>
      </c>
    </row>
    <row r="257" spans="1:10">
      <c r="A257" t="s">
        <v>396</v>
      </c>
      <c r="B257" t="s">
        <v>280</v>
      </c>
      <c r="C257" t="s">
        <v>231</v>
      </c>
      <c r="D257" t="s">
        <v>232</v>
      </c>
      <c r="E257" t="s">
        <v>6</v>
      </c>
      <c r="F257" t="s">
        <v>238</v>
      </c>
      <c r="G257" t="s">
        <v>296</v>
      </c>
      <c r="H257">
        <v>2</v>
      </c>
      <c r="I257">
        <v>1785.76</v>
      </c>
      <c r="J257">
        <v>3571.52</v>
      </c>
    </row>
    <row r="258" spans="1:10">
      <c r="A258" t="s">
        <v>397</v>
      </c>
      <c r="B258" t="s">
        <v>240</v>
      </c>
      <c r="C258" t="s">
        <v>273</v>
      </c>
      <c r="D258" t="s">
        <v>252</v>
      </c>
      <c r="E258" t="s">
        <v>5</v>
      </c>
      <c r="F258" t="s">
        <v>233</v>
      </c>
      <c r="G258" t="s">
        <v>301</v>
      </c>
      <c r="H258">
        <v>10</v>
      </c>
      <c r="I258">
        <v>505.39</v>
      </c>
      <c r="J258">
        <v>5053.8999999999996</v>
      </c>
    </row>
    <row r="259" spans="1:10">
      <c r="A259" t="s">
        <v>360</v>
      </c>
      <c r="B259" t="s">
        <v>254</v>
      </c>
      <c r="C259" t="s">
        <v>241</v>
      </c>
      <c r="D259" t="s">
        <v>242</v>
      </c>
      <c r="E259" t="s">
        <v>8</v>
      </c>
      <c r="F259" t="s">
        <v>259</v>
      </c>
      <c r="G259" t="s">
        <v>298</v>
      </c>
      <c r="H259">
        <v>1</v>
      </c>
      <c r="I259">
        <v>4966.8599999999997</v>
      </c>
      <c r="J259">
        <v>4966.8599999999997</v>
      </c>
    </row>
    <row r="260" spans="1:10">
      <c r="A260" t="s">
        <v>398</v>
      </c>
      <c r="B260" t="s">
        <v>240</v>
      </c>
      <c r="C260" t="s">
        <v>316</v>
      </c>
      <c r="D260" t="s">
        <v>247</v>
      </c>
      <c r="E260" t="s">
        <v>6</v>
      </c>
      <c r="F260" t="s">
        <v>233</v>
      </c>
      <c r="G260" t="s">
        <v>287</v>
      </c>
      <c r="H260">
        <v>5</v>
      </c>
      <c r="I260">
        <v>4988.76</v>
      </c>
      <c r="J260">
        <v>24943.8</v>
      </c>
    </row>
    <row r="261" spans="1:10">
      <c r="A261" t="s">
        <v>399</v>
      </c>
      <c r="B261" t="s">
        <v>257</v>
      </c>
      <c r="C261" t="s">
        <v>258</v>
      </c>
      <c r="D261" t="s">
        <v>242</v>
      </c>
      <c r="E261" t="s">
        <v>8</v>
      </c>
      <c r="F261" t="s">
        <v>259</v>
      </c>
      <c r="G261" t="s">
        <v>298</v>
      </c>
      <c r="H261">
        <v>18</v>
      </c>
      <c r="I261">
        <v>1745.63</v>
      </c>
      <c r="J261">
        <v>31421.34</v>
      </c>
    </row>
    <row r="262" spans="1:10">
      <c r="A262" t="s">
        <v>400</v>
      </c>
      <c r="B262" t="s">
        <v>240</v>
      </c>
      <c r="C262" t="s">
        <v>249</v>
      </c>
      <c r="D262" t="s">
        <v>232</v>
      </c>
      <c r="E262" t="s">
        <v>6</v>
      </c>
      <c r="F262" t="s">
        <v>245</v>
      </c>
      <c r="G262" t="s">
        <v>295</v>
      </c>
      <c r="H262">
        <v>2</v>
      </c>
      <c r="I262">
        <v>3024.56</v>
      </c>
      <c r="J262">
        <v>6049.12</v>
      </c>
    </row>
    <row r="263" spans="1:10">
      <c r="A263" s="26">
        <v>45083</v>
      </c>
      <c r="B263" t="s">
        <v>268</v>
      </c>
      <c r="C263" t="s">
        <v>236</v>
      </c>
      <c r="D263" t="s">
        <v>237</v>
      </c>
      <c r="E263" t="s">
        <v>8</v>
      </c>
      <c r="F263" t="s">
        <v>238</v>
      </c>
      <c r="G263" t="s">
        <v>256</v>
      </c>
      <c r="H263">
        <v>15</v>
      </c>
      <c r="I263">
        <v>4599.74</v>
      </c>
      <c r="J263">
        <v>68996.100000000006</v>
      </c>
    </row>
    <row r="264" spans="1:10">
      <c r="A264" t="s">
        <v>319</v>
      </c>
      <c r="B264" t="s">
        <v>240</v>
      </c>
      <c r="C264" t="s">
        <v>273</v>
      </c>
      <c r="D264" t="s">
        <v>252</v>
      </c>
      <c r="E264" t="s">
        <v>5</v>
      </c>
      <c r="F264" t="s">
        <v>250</v>
      </c>
      <c r="G264" t="s">
        <v>293</v>
      </c>
      <c r="H264">
        <v>18</v>
      </c>
      <c r="I264">
        <v>330.49</v>
      </c>
      <c r="J264">
        <v>5948.82</v>
      </c>
    </row>
    <row r="265" spans="1:10">
      <c r="A265" t="s">
        <v>401</v>
      </c>
      <c r="B265" t="s">
        <v>248</v>
      </c>
      <c r="C265" t="s">
        <v>283</v>
      </c>
      <c r="D265" t="s">
        <v>242</v>
      </c>
      <c r="E265" t="s">
        <v>8</v>
      </c>
      <c r="F265" t="s">
        <v>245</v>
      </c>
      <c r="G265" t="s">
        <v>246</v>
      </c>
      <c r="H265">
        <v>8</v>
      </c>
      <c r="I265">
        <v>4775.74</v>
      </c>
      <c r="J265">
        <v>38205.919999999998</v>
      </c>
    </row>
    <row r="266" spans="1:10">
      <c r="A266" t="s">
        <v>402</v>
      </c>
      <c r="B266" t="s">
        <v>280</v>
      </c>
      <c r="C266" t="s">
        <v>316</v>
      </c>
      <c r="D266" t="s">
        <v>247</v>
      </c>
      <c r="E266" t="s">
        <v>6</v>
      </c>
      <c r="F266" t="s">
        <v>238</v>
      </c>
      <c r="G266" t="s">
        <v>256</v>
      </c>
      <c r="H266">
        <v>16</v>
      </c>
      <c r="I266">
        <v>2329.86</v>
      </c>
      <c r="J266">
        <v>37277.760000000002</v>
      </c>
    </row>
    <row r="267" spans="1:10">
      <c r="A267" t="s">
        <v>344</v>
      </c>
      <c r="B267" t="s">
        <v>235</v>
      </c>
      <c r="C267" t="s">
        <v>261</v>
      </c>
      <c r="D267" t="s">
        <v>247</v>
      </c>
      <c r="E267" t="s">
        <v>6</v>
      </c>
      <c r="F267" t="s">
        <v>259</v>
      </c>
      <c r="G267" t="s">
        <v>179</v>
      </c>
      <c r="H267">
        <v>16</v>
      </c>
      <c r="I267">
        <v>1426.64</v>
      </c>
      <c r="J267">
        <v>22826.240000000002</v>
      </c>
    </row>
    <row r="268" spans="1:10">
      <c r="A268" t="s">
        <v>403</v>
      </c>
      <c r="B268" t="s">
        <v>254</v>
      </c>
      <c r="C268" t="s">
        <v>316</v>
      </c>
      <c r="D268" t="s">
        <v>247</v>
      </c>
      <c r="E268" t="s">
        <v>6</v>
      </c>
      <c r="F268" t="s">
        <v>245</v>
      </c>
      <c r="G268" t="s">
        <v>269</v>
      </c>
      <c r="H268">
        <v>8</v>
      </c>
      <c r="I268">
        <v>2663.16</v>
      </c>
      <c r="J268">
        <v>21305.279999999999</v>
      </c>
    </row>
    <row r="269" spans="1:10">
      <c r="A269" s="26">
        <v>45233</v>
      </c>
      <c r="B269" t="s">
        <v>271</v>
      </c>
      <c r="C269" t="s">
        <v>261</v>
      </c>
      <c r="D269" t="s">
        <v>247</v>
      </c>
      <c r="E269" t="s">
        <v>6</v>
      </c>
      <c r="F269" t="s">
        <v>245</v>
      </c>
      <c r="G269" t="s">
        <v>246</v>
      </c>
      <c r="H269">
        <v>20</v>
      </c>
      <c r="I269">
        <v>1690.56</v>
      </c>
      <c r="J269">
        <v>33811.199999999997</v>
      </c>
    </row>
    <row r="270" spans="1:10">
      <c r="A270" t="s">
        <v>404</v>
      </c>
      <c r="B270" t="s">
        <v>271</v>
      </c>
      <c r="C270" t="s">
        <v>274</v>
      </c>
      <c r="D270" t="s">
        <v>232</v>
      </c>
      <c r="E270" t="s">
        <v>6</v>
      </c>
      <c r="F270" t="s">
        <v>245</v>
      </c>
      <c r="G270" t="s">
        <v>246</v>
      </c>
      <c r="H270">
        <v>1</v>
      </c>
      <c r="I270">
        <v>776.08</v>
      </c>
      <c r="J270">
        <v>776.08</v>
      </c>
    </row>
    <row r="271" spans="1:10">
      <c r="A271" s="26">
        <v>44961</v>
      </c>
      <c r="B271" t="s">
        <v>235</v>
      </c>
      <c r="C271" t="s">
        <v>241</v>
      </c>
      <c r="D271" t="s">
        <v>242</v>
      </c>
      <c r="E271" t="s">
        <v>8</v>
      </c>
      <c r="F271" t="s">
        <v>250</v>
      </c>
      <c r="G271" t="s">
        <v>284</v>
      </c>
      <c r="H271">
        <v>3</v>
      </c>
      <c r="I271">
        <v>1435.01</v>
      </c>
      <c r="J271">
        <v>4305.03</v>
      </c>
    </row>
    <row r="272" spans="1:10">
      <c r="A272" s="26">
        <v>45116</v>
      </c>
      <c r="B272" t="s">
        <v>248</v>
      </c>
      <c r="C272" t="s">
        <v>276</v>
      </c>
      <c r="D272" t="s">
        <v>247</v>
      </c>
      <c r="E272" t="s">
        <v>6</v>
      </c>
      <c r="F272" t="s">
        <v>238</v>
      </c>
      <c r="G272" t="s">
        <v>296</v>
      </c>
      <c r="H272">
        <v>16</v>
      </c>
      <c r="I272">
        <v>1473.98</v>
      </c>
      <c r="J272">
        <v>23583.68</v>
      </c>
    </row>
    <row r="273" spans="1:10">
      <c r="A273" s="26">
        <v>45057</v>
      </c>
      <c r="B273" t="s">
        <v>271</v>
      </c>
      <c r="C273" t="s">
        <v>313</v>
      </c>
      <c r="D273" t="s">
        <v>252</v>
      </c>
      <c r="E273" t="s">
        <v>5</v>
      </c>
      <c r="F273" t="s">
        <v>233</v>
      </c>
      <c r="G273" t="s">
        <v>287</v>
      </c>
      <c r="H273">
        <v>6</v>
      </c>
      <c r="I273">
        <v>1822.86</v>
      </c>
      <c r="J273">
        <v>10937.16</v>
      </c>
    </row>
    <row r="274" spans="1:10">
      <c r="A274" s="26">
        <v>45079</v>
      </c>
      <c r="B274" t="s">
        <v>271</v>
      </c>
      <c r="C274" t="s">
        <v>244</v>
      </c>
      <c r="D274" t="s">
        <v>237</v>
      </c>
      <c r="E274" t="s">
        <v>8</v>
      </c>
      <c r="F274" t="s">
        <v>245</v>
      </c>
      <c r="G274" t="s">
        <v>266</v>
      </c>
      <c r="H274">
        <v>13</v>
      </c>
      <c r="I274">
        <v>739.6</v>
      </c>
      <c r="J274">
        <v>9614.7999999999993</v>
      </c>
    </row>
    <row r="275" spans="1:10">
      <c r="A275" s="26">
        <v>45172</v>
      </c>
      <c r="B275" t="s">
        <v>257</v>
      </c>
      <c r="C275" t="s">
        <v>261</v>
      </c>
      <c r="D275" t="s">
        <v>247</v>
      </c>
      <c r="E275" t="s">
        <v>6</v>
      </c>
      <c r="F275" t="s">
        <v>250</v>
      </c>
      <c r="G275" t="s">
        <v>293</v>
      </c>
      <c r="H275">
        <v>11</v>
      </c>
      <c r="I275">
        <v>4209.66</v>
      </c>
      <c r="J275">
        <v>46306.26</v>
      </c>
    </row>
    <row r="276" spans="1:10">
      <c r="A276" s="26">
        <v>44929</v>
      </c>
      <c r="B276" t="s">
        <v>235</v>
      </c>
      <c r="C276" t="s">
        <v>283</v>
      </c>
      <c r="D276" t="s">
        <v>242</v>
      </c>
      <c r="E276" t="s">
        <v>8</v>
      </c>
      <c r="F276" t="s">
        <v>259</v>
      </c>
      <c r="G276" t="s">
        <v>182</v>
      </c>
      <c r="H276">
        <v>8</v>
      </c>
      <c r="I276">
        <v>4105.17</v>
      </c>
      <c r="J276">
        <v>32841.360000000001</v>
      </c>
    </row>
    <row r="277" spans="1:10">
      <c r="A277" t="s">
        <v>318</v>
      </c>
      <c r="B277" t="s">
        <v>257</v>
      </c>
      <c r="C277" t="s">
        <v>273</v>
      </c>
      <c r="D277" t="s">
        <v>252</v>
      </c>
      <c r="E277" t="s">
        <v>5</v>
      </c>
      <c r="F277" t="s">
        <v>233</v>
      </c>
      <c r="G277" t="s">
        <v>234</v>
      </c>
      <c r="H277">
        <v>2</v>
      </c>
      <c r="I277">
        <v>4100.3999999999996</v>
      </c>
      <c r="J277">
        <v>8200.7999999999993</v>
      </c>
    </row>
    <row r="278" spans="1:10">
      <c r="A278" t="s">
        <v>333</v>
      </c>
      <c r="B278" t="s">
        <v>235</v>
      </c>
      <c r="C278" t="s">
        <v>236</v>
      </c>
      <c r="D278" t="s">
        <v>237</v>
      </c>
      <c r="E278" t="s">
        <v>8</v>
      </c>
      <c r="F278" t="s">
        <v>250</v>
      </c>
      <c r="G278" t="s">
        <v>251</v>
      </c>
      <c r="H278">
        <v>20</v>
      </c>
      <c r="I278">
        <v>2295.08</v>
      </c>
      <c r="J278">
        <v>45901.599999999999</v>
      </c>
    </row>
    <row r="279" spans="1:10">
      <c r="A279" s="26">
        <v>45241</v>
      </c>
      <c r="B279" t="s">
        <v>271</v>
      </c>
      <c r="C279" t="s">
        <v>249</v>
      </c>
      <c r="D279" t="s">
        <v>232</v>
      </c>
      <c r="E279" t="s">
        <v>6</v>
      </c>
      <c r="F279" t="s">
        <v>250</v>
      </c>
      <c r="G279" t="s">
        <v>277</v>
      </c>
      <c r="H279">
        <v>20</v>
      </c>
      <c r="I279">
        <v>4970.33</v>
      </c>
      <c r="J279">
        <v>99406.6</v>
      </c>
    </row>
    <row r="280" spans="1:10">
      <c r="A280" s="26">
        <v>45272</v>
      </c>
      <c r="B280" t="s">
        <v>257</v>
      </c>
      <c r="C280" t="s">
        <v>316</v>
      </c>
      <c r="D280" t="s">
        <v>247</v>
      </c>
      <c r="E280" t="s">
        <v>6</v>
      </c>
      <c r="F280" t="s">
        <v>233</v>
      </c>
      <c r="G280" t="s">
        <v>287</v>
      </c>
      <c r="H280">
        <v>12</v>
      </c>
      <c r="I280">
        <v>3939.5</v>
      </c>
      <c r="J280">
        <v>47274</v>
      </c>
    </row>
    <row r="281" spans="1:10">
      <c r="A281" t="s">
        <v>365</v>
      </c>
      <c r="B281" t="s">
        <v>260</v>
      </c>
      <c r="C281" t="s">
        <v>258</v>
      </c>
      <c r="D281" t="s">
        <v>242</v>
      </c>
      <c r="E281" t="s">
        <v>8</v>
      </c>
      <c r="F281" t="s">
        <v>259</v>
      </c>
      <c r="G281" t="s">
        <v>298</v>
      </c>
      <c r="H281">
        <v>15</v>
      </c>
      <c r="I281">
        <v>1450.75</v>
      </c>
      <c r="J281">
        <v>21761.25</v>
      </c>
    </row>
    <row r="282" spans="1:10">
      <c r="A282" s="26">
        <v>45057</v>
      </c>
      <c r="B282" t="s">
        <v>260</v>
      </c>
      <c r="C282" t="s">
        <v>244</v>
      </c>
      <c r="D282" t="s">
        <v>237</v>
      </c>
      <c r="E282" t="s">
        <v>8</v>
      </c>
      <c r="F282" t="s">
        <v>233</v>
      </c>
      <c r="G282" t="s">
        <v>234</v>
      </c>
      <c r="H282">
        <v>8</v>
      </c>
      <c r="I282">
        <v>3279.33</v>
      </c>
      <c r="J282">
        <v>26234.639999999999</v>
      </c>
    </row>
    <row r="283" spans="1:10">
      <c r="A283" t="s">
        <v>405</v>
      </c>
      <c r="B283" t="s">
        <v>271</v>
      </c>
      <c r="C283" t="s">
        <v>274</v>
      </c>
      <c r="D283" t="s">
        <v>232</v>
      </c>
      <c r="E283" t="s">
        <v>6</v>
      </c>
      <c r="F283" t="s">
        <v>245</v>
      </c>
      <c r="G283" t="s">
        <v>269</v>
      </c>
      <c r="H283">
        <v>7</v>
      </c>
      <c r="I283">
        <v>579.91999999999996</v>
      </c>
      <c r="J283">
        <v>4059.44</v>
      </c>
    </row>
    <row r="284" spans="1:10">
      <c r="A284" s="26">
        <v>45048</v>
      </c>
      <c r="B284" t="s">
        <v>260</v>
      </c>
      <c r="C284" t="s">
        <v>244</v>
      </c>
      <c r="D284" t="s">
        <v>237</v>
      </c>
      <c r="E284" t="s">
        <v>8</v>
      </c>
      <c r="F284" t="s">
        <v>259</v>
      </c>
      <c r="G284" t="s">
        <v>179</v>
      </c>
      <c r="H284">
        <v>10</v>
      </c>
      <c r="I284">
        <v>2515.54</v>
      </c>
      <c r="J284">
        <v>25155.4</v>
      </c>
    </row>
    <row r="285" spans="1:10">
      <c r="A285" t="s">
        <v>357</v>
      </c>
      <c r="B285" t="s">
        <v>248</v>
      </c>
      <c r="C285" t="s">
        <v>274</v>
      </c>
      <c r="D285" t="s">
        <v>232</v>
      </c>
      <c r="E285" t="s">
        <v>6</v>
      </c>
      <c r="F285" t="s">
        <v>250</v>
      </c>
      <c r="G285" t="s">
        <v>277</v>
      </c>
      <c r="H285">
        <v>10</v>
      </c>
      <c r="I285">
        <v>2976.69</v>
      </c>
      <c r="J285">
        <v>29766.9</v>
      </c>
    </row>
    <row r="286" spans="1:10">
      <c r="A286" t="s">
        <v>282</v>
      </c>
      <c r="B286" t="s">
        <v>248</v>
      </c>
      <c r="C286" t="s">
        <v>236</v>
      </c>
      <c r="D286" t="s">
        <v>237</v>
      </c>
      <c r="E286" t="s">
        <v>8</v>
      </c>
      <c r="F286" t="s">
        <v>250</v>
      </c>
      <c r="G286" t="s">
        <v>293</v>
      </c>
      <c r="H286">
        <v>16</v>
      </c>
      <c r="I286">
        <v>4047.21</v>
      </c>
      <c r="J286">
        <v>64755.360000000001</v>
      </c>
    </row>
    <row r="287" spans="1:10">
      <c r="A287" s="26">
        <v>45203</v>
      </c>
      <c r="B287" t="s">
        <v>254</v>
      </c>
      <c r="C287" t="s">
        <v>276</v>
      </c>
      <c r="D287" t="s">
        <v>247</v>
      </c>
      <c r="E287" t="s">
        <v>6</v>
      </c>
      <c r="F287" t="s">
        <v>250</v>
      </c>
      <c r="G287" t="s">
        <v>284</v>
      </c>
      <c r="H287">
        <v>18</v>
      </c>
      <c r="I287">
        <v>2825.07</v>
      </c>
      <c r="J287">
        <v>50851.26</v>
      </c>
    </row>
    <row r="288" spans="1:10">
      <c r="A288" t="s">
        <v>399</v>
      </c>
      <c r="B288" t="s">
        <v>257</v>
      </c>
      <c r="C288" t="s">
        <v>255</v>
      </c>
      <c r="D288" t="s">
        <v>237</v>
      </c>
      <c r="E288" t="s">
        <v>8</v>
      </c>
      <c r="F288" t="s">
        <v>245</v>
      </c>
      <c r="G288" t="s">
        <v>295</v>
      </c>
      <c r="H288">
        <v>13</v>
      </c>
      <c r="I288">
        <v>1406.82</v>
      </c>
      <c r="J288">
        <v>18288.66</v>
      </c>
    </row>
    <row r="289" spans="1:10">
      <c r="A289" t="s">
        <v>406</v>
      </c>
      <c r="B289" t="s">
        <v>280</v>
      </c>
      <c r="C289" t="s">
        <v>231</v>
      </c>
      <c r="D289" t="s">
        <v>232</v>
      </c>
      <c r="E289" t="s">
        <v>6</v>
      </c>
      <c r="F289" t="s">
        <v>238</v>
      </c>
      <c r="G289" t="s">
        <v>303</v>
      </c>
      <c r="H289">
        <v>16</v>
      </c>
      <c r="I289">
        <v>1090.18</v>
      </c>
      <c r="J289">
        <v>17442.88</v>
      </c>
    </row>
    <row r="290" spans="1:10">
      <c r="A290" s="26">
        <v>44987</v>
      </c>
      <c r="B290" t="s">
        <v>268</v>
      </c>
      <c r="C290" t="s">
        <v>313</v>
      </c>
      <c r="D290" t="s">
        <v>252</v>
      </c>
      <c r="E290" t="s">
        <v>5</v>
      </c>
      <c r="F290" t="s">
        <v>259</v>
      </c>
      <c r="G290" t="s">
        <v>298</v>
      </c>
      <c r="H290">
        <v>12</v>
      </c>
      <c r="I290">
        <v>3696.43</v>
      </c>
      <c r="J290">
        <v>44357.16</v>
      </c>
    </row>
    <row r="291" spans="1:10">
      <c r="A291" s="26">
        <v>45180</v>
      </c>
      <c r="B291" t="s">
        <v>248</v>
      </c>
      <c r="C291" t="s">
        <v>283</v>
      </c>
      <c r="D291" t="s">
        <v>242</v>
      </c>
      <c r="E291" t="s">
        <v>8</v>
      </c>
      <c r="F291" t="s">
        <v>259</v>
      </c>
      <c r="G291" t="s">
        <v>298</v>
      </c>
      <c r="H291">
        <v>7</v>
      </c>
      <c r="I291">
        <v>4535.1400000000003</v>
      </c>
      <c r="J291">
        <v>31745.98</v>
      </c>
    </row>
    <row r="292" spans="1:10">
      <c r="A292" s="26">
        <v>44968</v>
      </c>
      <c r="B292" t="s">
        <v>254</v>
      </c>
      <c r="C292" t="s">
        <v>236</v>
      </c>
      <c r="D292" t="s">
        <v>237</v>
      </c>
      <c r="E292" t="s">
        <v>8</v>
      </c>
      <c r="F292" t="s">
        <v>250</v>
      </c>
      <c r="G292" t="s">
        <v>293</v>
      </c>
      <c r="H292">
        <v>3</v>
      </c>
      <c r="I292">
        <v>4931.6899999999996</v>
      </c>
      <c r="J292">
        <v>14795.07</v>
      </c>
    </row>
    <row r="293" spans="1:10">
      <c r="A293" t="s">
        <v>265</v>
      </c>
      <c r="B293" t="s">
        <v>280</v>
      </c>
      <c r="C293" t="s">
        <v>281</v>
      </c>
      <c r="D293" t="s">
        <v>252</v>
      </c>
      <c r="E293" t="s">
        <v>5</v>
      </c>
      <c r="F293" t="s">
        <v>250</v>
      </c>
      <c r="G293" t="s">
        <v>251</v>
      </c>
      <c r="H293">
        <v>16</v>
      </c>
      <c r="I293">
        <v>3263.65</v>
      </c>
      <c r="J293">
        <v>52218.400000000001</v>
      </c>
    </row>
    <row r="294" spans="1:10">
      <c r="A294" t="s">
        <v>407</v>
      </c>
      <c r="B294" t="s">
        <v>240</v>
      </c>
      <c r="C294" t="s">
        <v>249</v>
      </c>
      <c r="D294" t="s">
        <v>232</v>
      </c>
      <c r="E294" t="s">
        <v>6</v>
      </c>
      <c r="F294" t="s">
        <v>238</v>
      </c>
      <c r="G294" t="s">
        <v>296</v>
      </c>
      <c r="H294">
        <v>17</v>
      </c>
      <c r="I294">
        <v>4083.07</v>
      </c>
      <c r="J294">
        <v>69412.19</v>
      </c>
    </row>
    <row r="295" spans="1:10">
      <c r="A295" t="s">
        <v>302</v>
      </c>
      <c r="B295" t="s">
        <v>260</v>
      </c>
      <c r="C295" t="s">
        <v>274</v>
      </c>
      <c r="D295" t="s">
        <v>232</v>
      </c>
      <c r="E295" t="s">
        <v>6</v>
      </c>
      <c r="F295" t="s">
        <v>238</v>
      </c>
      <c r="G295" t="s">
        <v>239</v>
      </c>
      <c r="H295">
        <v>12</v>
      </c>
      <c r="I295">
        <v>528.69000000000005</v>
      </c>
      <c r="J295">
        <v>6344.28</v>
      </c>
    </row>
    <row r="296" spans="1:10">
      <c r="A296" s="26">
        <v>45024</v>
      </c>
      <c r="B296" t="s">
        <v>271</v>
      </c>
      <c r="C296" t="s">
        <v>244</v>
      </c>
      <c r="D296" t="s">
        <v>237</v>
      </c>
      <c r="E296" t="s">
        <v>8</v>
      </c>
      <c r="F296" t="s">
        <v>259</v>
      </c>
      <c r="G296" t="s">
        <v>299</v>
      </c>
      <c r="H296">
        <v>8</v>
      </c>
      <c r="I296">
        <v>528.92999999999995</v>
      </c>
      <c r="J296">
        <v>4231.4399999999996</v>
      </c>
    </row>
    <row r="297" spans="1:10">
      <c r="A297" s="26">
        <v>45268</v>
      </c>
      <c r="B297" t="s">
        <v>230</v>
      </c>
      <c r="C297" t="s">
        <v>249</v>
      </c>
      <c r="D297" t="s">
        <v>232</v>
      </c>
      <c r="E297" t="s">
        <v>6</v>
      </c>
      <c r="F297" t="s">
        <v>250</v>
      </c>
      <c r="G297" t="s">
        <v>251</v>
      </c>
      <c r="H297">
        <v>11</v>
      </c>
      <c r="I297">
        <v>1749.31</v>
      </c>
      <c r="J297">
        <v>19242.41</v>
      </c>
    </row>
    <row r="298" spans="1:10">
      <c r="A298" s="26">
        <v>44969</v>
      </c>
      <c r="B298" t="s">
        <v>230</v>
      </c>
      <c r="C298" t="s">
        <v>231</v>
      </c>
      <c r="D298" t="s">
        <v>232</v>
      </c>
      <c r="E298" t="s">
        <v>6</v>
      </c>
      <c r="F298" t="s">
        <v>238</v>
      </c>
      <c r="G298" t="s">
        <v>239</v>
      </c>
      <c r="H298">
        <v>11</v>
      </c>
      <c r="I298">
        <v>2635.95</v>
      </c>
      <c r="J298">
        <v>28995.45</v>
      </c>
    </row>
    <row r="299" spans="1:10">
      <c r="A299" t="s">
        <v>347</v>
      </c>
      <c r="B299" t="s">
        <v>257</v>
      </c>
      <c r="C299" t="s">
        <v>231</v>
      </c>
      <c r="D299" t="s">
        <v>232</v>
      </c>
      <c r="E299" t="s">
        <v>6</v>
      </c>
      <c r="F299" t="s">
        <v>250</v>
      </c>
      <c r="G299" t="s">
        <v>251</v>
      </c>
      <c r="H299">
        <v>6</v>
      </c>
      <c r="I299">
        <v>2850.31</v>
      </c>
      <c r="J299">
        <v>17101.86</v>
      </c>
    </row>
    <row r="300" spans="1:10">
      <c r="A300" t="s">
        <v>354</v>
      </c>
      <c r="B300" t="s">
        <v>280</v>
      </c>
      <c r="C300" t="s">
        <v>241</v>
      </c>
      <c r="D300" t="s">
        <v>242</v>
      </c>
      <c r="E300" t="s">
        <v>8</v>
      </c>
      <c r="F300" t="s">
        <v>259</v>
      </c>
      <c r="G300" t="s">
        <v>182</v>
      </c>
      <c r="H300">
        <v>5</v>
      </c>
      <c r="I300">
        <v>1413.03</v>
      </c>
      <c r="J300">
        <v>7065.15</v>
      </c>
    </row>
    <row r="301" spans="1:10">
      <c r="A301" t="s">
        <v>408</v>
      </c>
      <c r="B301" t="s">
        <v>254</v>
      </c>
      <c r="C301" t="s">
        <v>274</v>
      </c>
      <c r="D301" t="s">
        <v>232</v>
      </c>
      <c r="E301" t="s">
        <v>6</v>
      </c>
      <c r="F301" t="s">
        <v>259</v>
      </c>
      <c r="G301" t="s">
        <v>298</v>
      </c>
      <c r="H301">
        <v>14</v>
      </c>
      <c r="I301">
        <v>4541.87</v>
      </c>
      <c r="J301">
        <v>63586.18</v>
      </c>
    </row>
    <row r="302" spans="1:10">
      <c r="A302" t="s">
        <v>361</v>
      </c>
      <c r="B302" t="s">
        <v>254</v>
      </c>
      <c r="C302" t="s">
        <v>273</v>
      </c>
      <c r="D302" t="s">
        <v>252</v>
      </c>
      <c r="E302" t="s">
        <v>5</v>
      </c>
      <c r="F302" t="s">
        <v>245</v>
      </c>
      <c r="G302" t="s">
        <v>269</v>
      </c>
      <c r="H302">
        <v>5</v>
      </c>
      <c r="I302">
        <v>3395.71</v>
      </c>
      <c r="J302">
        <v>16978.55</v>
      </c>
    </row>
    <row r="303" spans="1:10">
      <c r="A303" s="26">
        <v>45118</v>
      </c>
      <c r="B303" t="s">
        <v>248</v>
      </c>
      <c r="C303" t="s">
        <v>261</v>
      </c>
      <c r="D303" t="s">
        <v>247</v>
      </c>
      <c r="E303" t="s">
        <v>6</v>
      </c>
      <c r="F303" t="s">
        <v>238</v>
      </c>
      <c r="G303" t="s">
        <v>296</v>
      </c>
      <c r="H303">
        <v>2</v>
      </c>
      <c r="I303">
        <v>4050.46</v>
      </c>
      <c r="J303">
        <v>8100.92</v>
      </c>
    </row>
    <row r="304" spans="1:10">
      <c r="A304" s="26">
        <v>44993</v>
      </c>
      <c r="B304" t="s">
        <v>268</v>
      </c>
      <c r="C304" t="s">
        <v>316</v>
      </c>
      <c r="D304" t="s">
        <v>247</v>
      </c>
      <c r="E304" t="s">
        <v>6</v>
      </c>
      <c r="F304" t="s">
        <v>245</v>
      </c>
      <c r="G304" t="s">
        <v>246</v>
      </c>
      <c r="H304">
        <v>6</v>
      </c>
      <c r="I304">
        <v>3617.81</v>
      </c>
      <c r="J304">
        <v>21706.86</v>
      </c>
    </row>
    <row r="305" spans="1:10">
      <c r="A305" t="s">
        <v>409</v>
      </c>
      <c r="B305" t="s">
        <v>248</v>
      </c>
      <c r="C305" t="s">
        <v>236</v>
      </c>
      <c r="D305" t="s">
        <v>237</v>
      </c>
      <c r="E305" t="s">
        <v>8</v>
      </c>
      <c r="F305" t="s">
        <v>250</v>
      </c>
      <c r="G305" t="s">
        <v>277</v>
      </c>
      <c r="H305">
        <v>11</v>
      </c>
      <c r="I305">
        <v>1527.71</v>
      </c>
      <c r="J305">
        <v>16804.810000000001</v>
      </c>
    </row>
    <row r="306" spans="1:10">
      <c r="A306" s="26">
        <v>45079</v>
      </c>
      <c r="B306" t="s">
        <v>268</v>
      </c>
      <c r="C306" t="s">
        <v>313</v>
      </c>
      <c r="D306" t="s">
        <v>252</v>
      </c>
      <c r="E306" t="s">
        <v>5</v>
      </c>
      <c r="F306" t="s">
        <v>259</v>
      </c>
      <c r="G306" t="s">
        <v>299</v>
      </c>
      <c r="H306">
        <v>7</v>
      </c>
      <c r="I306">
        <v>1420.32</v>
      </c>
      <c r="J306">
        <v>9942.24</v>
      </c>
    </row>
    <row r="307" spans="1:10">
      <c r="A307" t="s">
        <v>267</v>
      </c>
      <c r="B307" t="s">
        <v>254</v>
      </c>
      <c r="C307" t="s">
        <v>244</v>
      </c>
      <c r="D307" t="s">
        <v>237</v>
      </c>
      <c r="E307" t="s">
        <v>8</v>
      </c>
      <c r="F307" t="s">
        <v>259</v>
      </c>
      <c r="G307" t="s">
        <v>179</v>
      </c>
      <c r="H307">
        <v>17</v>
      </c>
      <c r="I307">
        <v>1336.86</v>
      </c>
      <c r="J307">
        <v>22726.62</v>
      </c>
    </row>
    <row r="308" spans="1:10">
      <c r="A308" s="26">
        <v>45200</v>
      </c>
      <c r="B308" t="s">
        <v>230</v>
      </c>
      <c r="C308" t="s">
        <v>316</v>
      </c>
      <c r="D308" t="s">
        <v>247</v>
      </c>
      <c r="E308" t="s">
        <v>6</v>
      </c>
      <c r="F308" t="s">
        <v>245</v>
      </c>
      <c r="G308" t="s">
        <v>246</v>
      </c>
      <c r="H308">
        <v>15</v>
      </c>
      <c r="I308">
        <v>359.4</v>
      </c>
      <c r="J308">
        <v>5391</v>
      </c>
    </row>
    <row r="309" spans="1:10">
      <c r="A309" t="s">
        <v>348</v>
      </c>
      <c r="B309" t="s">
        <v>271</v>
      </c>
      <c r="C309" t="s">
        <v>313</v>
      </c>
      <c r="D309" t="s">
        <v>252</v>
      </c>
      <c r="E309" t="s">
        <v>5</v>
      </c>
      <c r="F309" t="s">
        <v>233</v>
      </c>
      <c r="G309" t="s">
        <v>304</v>
      </c>
      <c r="H309">
        <v>6</v>
      </c>
      <c r="I309">
        <v>4109.0200000000004</v>
      </c>
      <c r="J309">
        <v>24654.12</v>
      </c>
    </row>
    <row r="310" spans="1:10">
      <c r="A310" s="26">
        <v>45140</v>
      </c>
      <c r="B310" t="s">
        <v>240</v>
      </c>
      <c r="C310" t="s">
        <v>241</v>
      </c>
      <c r="D310" t="s">
        <v>242</v>
      </c>
      <c r="E310" t="s">
        <v>8</v>
      </c>
      <c r="F310" t="s">
        <v>233</v>
      </c>
      <c r="G310" t="s">
        <v>234</v>
      </c>
      <c r="H310">
        <v>12</v>
      </c>
      <c r="I310">
        <v>3700.23</v>
      </c>
      <c r="J310">
        <v>44402.76</v>
      </c>
    </row>
    <row r="311" spans="1:10">
      <c r="A311" t="s">
        <v>386</v>
      </c>
      <c r="B311" t="s">
        <v>248</v>
      </c>
      <c r="C311" t="s">
        <v>244</v>
      </c>
      <c r="D311" t="s">
        <v>237</v>
      </c>
      <c r="E311" t="s">
        <v>8</v>
      </c>
      <c r="F311" t="s">
        <v>233</v>
      </c>
      <c r="G311" t="s">
        <v>304</v>
      </c>
      <c r="H311">
        <v>5</v>
      </c>
      <c r="I311">
        <v>221.41</v>
      </c>
      <c r="J311">
        <v>1107.05</v>
      </c>
    </row>
    <row r="312" spans="1:10">
      <c r="A312" t="s">
        <v>340</v>
      </c>
      <c r="B312" t="s">
        <v>271</v>
      </c>
      <c r="C312" t="s">
        <v>283</v>
      </c>
      <c r="D312" t="s">
        <v>242</v>
      </c>
      <c r="E312" t="s">
        <v>8</v>
      </c>
      <c r="F312" t="s">
        <v>245</v>
      </c>
      <c r="G312" t="s">
        <v>246</v>
      </c>
      <c r="H312">
        <v>12</v>
      </c>
      <c r="I312">
        <v>4446.1499999999996</v>
      </c>
      <c r="J312">
        <v>53353.8</v>
      </c>
    </row>
    <row r="313" spans="1:10">
      <c r="A313" s="26">
        <v>45145</v>
      </c>
      <c r="B313" t="s">
        <v>254</v>
      </c>
      <c r="C313" t="s">
        <v>283</v>
      </c>
      <c r="D313" t="s">
        <v>242</v>
      </c>
      <c r="E313" t="s">
        <v>8</v>
      </c>
      <c r="F313" t="s">
        <v>250</v>
      </c>
      <c r="G313" t="s">
        <v>251</v>
      </c>
      <c r="H313">
        <v>12</v>
      </c>
      <c r="I313">
        <v>2393.9699999999998</v>
      </c>
      <c r="J313">
        <v>28727.64</v>
      </c>
    </row>
    <row r="314" spans="1:10">
      <c r="A314" s="26">
        <v>45266</v>
      </c>
      <c r="B314" t="s">
        <v>257</v>
      </c>
      <c r="C314" t="s">
        <v>273</v>
      </c>
      <c r="D314" t="s">
        <v>252</v>
      </c>
      <c r="E314" t="s">
        <v>5</v>
      </c>
      <c r="F314" t="s">
        <v>250</v>
      </c>
      <c r="G314" t="s">
        <v>284</v>
      </c>
      <c r="H314">
        <v>7</v>
      </c>
      <c r="I314">
        <v>256.57</v>
      </c>
      <c r="J314">
        <v>1795.99</v>
      </c>
    </row>
    <row r="315" spans="1:10">
      <c r="A315" t="s">
        <v>410</v>
      </c>
      <c r="B315" t="s">
        <v>271</v>
      </c>
      <c r="C315" t="s">
        <v>255</v>
      </c>
      <c r="D315" t="s">
        <v>237</v>
      </c>
      <c r="E315" t="s">
        <v>8</v>
      </c>
      <c r="F315" t="s">
        <v>245</v>
      </c>
      <c r="G315" t="s">
        <v>295</v>
      </c>
      <c r="H315">
        <v>9</v>
      </c>
      <c r="I315">
        <v>4218.3599999999997</v>
      </c>
      <c r="J315">
        <v>37965.24</v>
      </c>
    </row>
    <row r="316" spans="1:10">
      <c r="A316" t="s">
        <v>364</v>
      </c>
      <c r="B316" t="s">
        <v>254</v>
      </c>
      <c r="C316" t="s">
        <v>273</v>
      </c>
      <c r="D316" t="s">
        <v>252</v>
      </c>
      <c r="E316" t="s">
        <v>5</v>
      </c>
      <c r="F316" t="s">
        <v>245</v>
      </c>
      <c r="G316" t="s">
        <v>266</v>
      </c>
      <c r="H316">
        <v>8</v>
      </c>
      <c r="I316">
        <v>4930.67</v>
      </c>
      <c r="J316">
        <v>39445.360000000001</v>
      </c>
    </row>
    <row r="317" spans="1:10">
      <c r="A317" t="s">
        <v>411</v>
      </c>
      <c r="B317" t="s">
        <v>235</v>
      </c>
      <c r="C317" t="s">
        <v>244</v>
      </c>
      <c r="D317" t="s">
        <v>237</v>
      </c>
      <c r="E317" t="s">
        <v>8</v>
      </c>
      <c r="F317" t="s">
        <v>245</v>
      </c>
      <c r="G317" t="s">
        <v>266</v>
      </c>
      <c r="H317">
        <v>2</v>
      </c>
      <c r="I317">
        <v>1264.68</v>
      </c>
      <c r="J317">
        <v>2529.36</v>
      </c>
    </row>
    <row r="318" spans="1:10">
      <c r="A318" s="26">
        <v>45113</v>
      </c>
      <c r="B318" t="s">
        <v>230</v>
      </c>
      <c r="C318" t="s">
        <v>274</v>
      </c>
      <c r="D318" t="s">
        <v>232</v>
      </c>
      <c r="E318" t="s">
        <v>6</v>
      </c>
      <c r="F318" t="s">
        <v>238</v>
      </c>
      <c r="G318" t="s">
        <v>256</v>
      </c>
      <c r="H318">
        <v>16</v>
      </c>
      <c r="I318">
        <v>2192.7399999999998</v>
      </c>
      <c r="J318">
        <v>35083.839999999997</v>
      </c>
    </row>
    <row r="319" spans="1:10">
      <c r="A319" t="s">
        <v>272</v>
      </c>
      <c r="B319" t="s">
        <v>235</v>
      </c>
      <c r="C319" t="s">
        <v>274</v>
      </c>
      <c r="D319" t="s">
        <v>232</v>
      </c>
      <c r="E319" t="s">
        <v>6</v>
      </c>
      <c r="F319" t="s">
        <v>250</v>
      </c>
      <c r="G319" t="s">
        <v>277</v>
      </c>
      <c r="H319">
        <v>14</v>
      </c>
      <c r="I319">
        <v>3943.42</v>
      </c>
      <c r="J319">
        <v>55207.88</v>
      </c>
    </row>
    <row r="320" spans="1:10">
      <c r="A320" s="26">
        <v>44994</v>
      </c>
      <c r="B320" t="s">
        <v>268</v>
      </c>
      <c r="C320" t="s">
        <v>276</v>
      </c>
      <c r="D320" t="s">
        <v>247</v>
      </c>
      <c r="E320" t="s">
        <v>6</v>
      </c>
      <c r="F320" t="s">
        <v>250</v>
      </c>
      <c r="G320" t="s">
        <v>293</v>
      </c>
      <c r="H320">
        <v>11</v>
      </c>
      <c r="I320">
        <v>2951.18</v>
      </c>
      <c r="J320">
        <v>32462.98</v>
      </c>
    </row>
    <row r="321" spans="1:10">
      <c r="A321" t="s">
        <v>412</v>
      </c>
      <c r="B321" t="s">
        <v>260</v>
      </c>
      <c r="C321" t="s">
        <v>244</v>
      </c>
      <c r="D321" t="s">
        <v>237</v>
      </c>
      <c r="E321" t="s">
        <v>8</v>
      </c>
      <c r="F321" t="s">
        <v>250</v>
      </c>
      <c r="G321" t="s">
        <v>284</v>
      </c>
      <c r="H321">
        <v>11</v>
      </c>
      <c r="I321">
        <v>4325.83</v>
      </c>
      <c r="J321">
        <v>47584.13</v>
      </c>
    </row>
    <row r="322" spans="1:10">
      <c r="A322" t="s">
        <v>413</v>
      </c>
      <c r="B322" t="s">
        <v>260</v>
      </c>
      <c r="C322" t="s">
        <v>276</v>
      </c>
      <c r="D322" t="s">
        <v>247</v>
      </c>
      <c r="E322" t="s">
        <v>6</v>
      </c>
      <c r="F322" t="s">
        <v>259</v>
      </c>
      <c r="G322" t="s">
        <v>299</v>
      </c>
      <c r="H322">
        <v>2</v>
      </c>
      <c r="I322">
        <v>1417.87</v>
      </c>
      <c r="J322">
        <v>2835.74</v>
      </c>
    </row>
    <row r="323" spans="1:10">
      <c r="A323" t="s">
        <v>414</v>
      </c>
      <c r="B323" t="s">
        <v>260</v>
      </c>
      <c r="C323" t="s">
        <v>249</v>
      </c>
      <c r="D323" t="s">
        <v>232</v>
      </c>
      <c r="E323" t="s">
        <v>6</v>
      </c>
      <c r="F323" t="s">
        <v>238</v>
      </c>
      <c r="G323" t="s">
        <v>239</v>
      </c>
      <c r="H323">
        <v>13</v>
      </c>
      <c r="I323">
        <v>2511.64</v>
      </c>
      <c r="J323">
        <v>32651.32</v>
      </c>
    </row>
    <row r="324" spans="1:10">
      <c r="A324" s="26">
        <v>44931</v>
      </c>
      <c r="B324" t="s">
        <v>268</v>
      </c>
      <c r="C324" t="s">
        <v>249</v>
      </c>
      <c r="D324" t="s">
        <v>232</v>
      </c>
      <c r="E324" t="s">
        <v>6</v>
      </c>
      <c r="F324" t="s">
        <v>233</v>
      </c>
      <c r="G324" t="s">
        <v>234</v>
      </c>
      <c r="H324">
        <v>7</v>
      </c>
      <c r="I324">
        <v>862.76</v>
      </c>
      <c r="J324">
        <v>6039.32</v>
      </c>
    </row>
    <row r="325" spans="1:10">
      <c r="A325" s="26">
        <v>44936</v>
      </c>
      <c r="B325" t="s">
        <v>235</v>
      </c>
      <c r="C325" t="s">
        <v>258</v>
      </c>
      <c r="D325" t="s">
        <v>242</v>
      </c>
      <c r="E325" t="s">
        <v>8</v>
      </c>
      <c r="F325" t="s">
        <v>245</v>
      </c>
      <c r="G325" t="s">
        <v>295</v>
      </c>
      <c r="H325">
        <v>18</v>
      </c>
      <c r="I325">
        <v>1412.15</v>
      </c>
      <c r="J325">
        <v>25418.7</v>
      </c>
    </row>
    <row r="326" spans="1:10">
      <c r="A326" s="26">
        <v>45261</v>
      </c>
      <c r="B326" t="s">
        <v>268</v>
      </c>
      <c r="C326" t="s">
        <v>316</v>
      </c>
      <c r="D326" t="s">
        <v>247</v>
      </c>
      <c r="E326" t="s">
        <v>6</v>
      </c>
      <c r="F326" t="s">
        <v>238</v>
      </c>
      <c r="G326" t="s">
        <v>239</v>
      </c>
      <c r="H326">
        <v>6</v>
      </c>
      <c r="I326">
        <v>3295.29</v>
      </c>
      <c r="J326">
        <v>19771.740000000002</v>
      </c>
    </row>
    <row r="327" spans="1:10">
      <c r="A327" t="s">
        <v>415</v>
      </c>
      <c r="B327" t="s">
        <v>280</v>
      </c>
      <c r="C327" t="s">
        <v>236</v>
      </c>
      <c r="D327" t="s">
        <v>237</v>
      </c>
      <c r="E327" t="s">
        <v>8</v>
      </c>
      <c r="F327" t="s">
        <v>238</v>
      </c>
      <c r="G327" t="s">
        <v>296</v>
      </c>
      <c r="H327">
        <v>18</v>
      </c>
      <c r="I327">
        <v>4132.6899999999996</v>
      </c>
      <c r="J327">
        <v>74388.42</v>
      </c>
    </row>
    <row r="328" spans="1:10">
      <c r="A328" s="26">
        <v>45179</v>
      </c>
      <c r="B328" t="s">
        <v>240</v>
      </c>
      <c r="C328" t="s">
        <v>244</v>
      </c>
      <c r="D328" t="s">
        <v>237</v>
      </c>
      <c r="E328" t="s">
        <v>8</v>
      </c>
      <c r="F328" t="s">
        <v>259</v>
      </c>
      <c r="G328" t="s">
        <v>298</v>
      </c>
      <c r="H328">
        <v>7</v>
      </c>
      <c r="I328">
        <v>1557.83</v>
      </c>
      <c r="J328">
        <v>10904.81</v>
      </c>
    </row>
    <row r="329" spans="1:10">
      <c r="A329" t="s">
        <v>416</v>
      </c>
      <c r="B329" t="s">
        <v>271</v>
      </c>
      <c r="C329" t="s">
        <v>273</v>
      </c>
      <c r="D329" t="s">
        <v>252</v>
      </c>
      <c r="E329" t="s">
        <v>5</v>
      </c>
      <c r="F329" t="s">
        <v>238</v>
      </c>
      <c r="G329" t="s">
        <v>256</v>
      </c>
      <c r="H329">
        <v>7</v>
      </c>
      <c r="I329">
        <v>4673.3100000000004</v>
      </c>
      <c r="J329">
        <v>32713.17</v>
      </c>
    </row>
    <row r="330" spans="1:10">
      <c r="A330" t="s">
        <v>379</v>
      </c>
      <c r="B330" t="s">
        <v>240</v>
      </c>
      <c r="C330" t="s">
        <v>249</v>
      </c>
      <c r="D330" t="s">
        <v>232</v>
      </c>
      <c r="E330" t="s">
        <v>6</v>
      </c>
      <c r="F330" t="s">
        <v>250</v>
      </c>
      <c r="G330" t="s">
        <v>293</v>
      </c>
      <c r="H330">
        <v>5</v>
      </c>
      <c r="I330">
        <v>3775.72</v>
      </c>
      <c r="J330">
        <v>18878.599999999999</v>
      </c>
    </row>
    <row r="331" spans="1:10">
      <c r="A331" t="s">
        <v>317</v>
      </c>
      <c r="B331" t="s">
        <v>268</v>
      </c>
      <c r="C331" t="s">
        <v>249</v>
      </c>
      <c r="D331" t="s">
        <v>232</v>
      </c>
      <c r="E331" t="s">
        <v>6</v>
      </c>
      <c r="F331" t="s">
        <v>233</v>
      </c>
      <c r="G331" t="s">
        <v>287</v>
      </c>
      <c r="H331">
        <v>6</v>
      </c>
      <c r="I331">
        <v>3524.48</v>
      </c>
      <c r="J331">
        <v>21146.880000000001</v>
      </c>
    </row>
    <row r="332" spans="1:10">
      <c r="A332" t="s">
        <v>368</v>
      </c>
      <c r="B332" t="s">
        <v>248</v>
      </c>
      <c r="C332" t="s">
        <v>276</v>
      </c>
      <c r="D332" t="s">
        <v>247</v>
      </c>
      <c r="E332" t="s">
        <v>6</v>
      </c>
      <c r="F332" t="s">
        <v>259</v>
      </c>
      <c r="G332" t="s">
        <v>182</v>
      </c>
      <c r="H332">
        <v>1</v>
      </c>
      <c r="I332">
        <v>2961.1</v>
      </c>
      <c r="J332">
        <v>2961.1</v>
      </c>
    </row>
    <row r="333" spans="1:10">
      <c r="A333" s="26">
        <v>44930</v>
      </c>
      <c r="B333" t="s">
        <v>240</v>
      </c>
      <c r="C333" t="s">
        <v>241</v>
      </c>
      <c r="D333" t="s">
        <v>242</v>
      </c>
      <c r="E333" t="s">
        <v>8</v>
      </c>
      <c r="F333" t="s">
        <v>238</v>
      </c>
      <c r="G333" t="s">
        <v>303</v>
      </c>
      <c r="H333">
        <v>13</v>
      </c>
      <c r="I333">
        <v>513.05999999999995</v>
      </c>
      <c r="J333">
        <v>6669.78</v>
      </c>
    </row>
    <row r="334" spans="1:10">
      <c r="A334" t="s">
        <v>392</v>
      </c>
      <c r="B334" t="s">
        <v>240</v>
      </c>
      <c r="C334" t="s">
        <v>241</v>
      </c>
      <c r="D334" t="s">
        <v>242</v>
      </c>
      <c r="E334" t="s">
        <v>8</v>
      </c>
      <c r="F334" t="s">
        <v>233</v>
      </c>
      <c r="G334" t="s">
        <v>301</v>
      </c>
      <c r="H334">
        <v>3</v>
      </c>
      <c r="I334">
        <v>953.26</v>
      </c>
      <c r="J334">
        <v>2859.78</v>
      </c>
    </row>
    <row r="335" spans="1:10">
      <c r="A335" t="s">
        <v>359</v>
      </c>
      <c r="B335" t="s">
        <v>230</v>
      </c>
      <c r="C335" t="s">
        <v>281</v>
      </c>
      <c r="D335" t="s">
        <v>252</v>
      </c>
      <c r="E335" t="s">
        <v>5</v>
      </c>
      <c r="F335" t="s">
        <v>238</v>
      </c>
      <c r="G335" t="s">
        <v>256</v>
      </c>
      <c r="H335">
        <v>2</v>
      </c>
      <c r="I335">
        <v>1189.6500000000001</v>
      </c>
      <c r="J335">
        <v>2379.3000000000002</v>
      </c>
    </row>
    <row r="336" spans="1:10">
      <c r="A336" s="26">
        <v>44933</v>
      </c>
      <c r="B336" t="s">
        <v>271</v>
      </c>
      <c r="C336" t="s">
        <v>241</v>
      </c>
      <c r="D336" t="s">
        <v>242</v>
      </c>
      <c r="E336" t="s">
        <v>8</v>
      </c>
      <c r="F336" t="s">
        <v>238</v>
      </c>
      <c r="G336" t="s">
        <v>256</v>
      </c>
      <c r="H336">
        <v>1</v>
      </c>
      <c r="I336">
        <v>1915.3</v>
      </c>
      <c r="J336">
        <v>1915.3</v>
      </c>
    </row>
    <row r="337" spans="1:10">
      <c r="A337" s="26">
        <v>45178</v>
      </c>
      <c r="B337" t="s">
        <v>268</v>
      </c>
      <c r="C337" t="s">
        <v>255</v>
      </c>
      <c r="D337" t="s">
        <v>237</v>
      </c>
      <c r="E337" t="s">
        <v>8</v>
      </c>
      <c r="F337" t="s">
        <v>238</v>
      </c>
      <c r="G337" t="s">
        <v>296</v>
      </c>
      <c r="H337">
        <v>8</v>
      </c>
      <c r="I337">
        <v>3927.74</v>
      </c>
      <c r="J337">
        <v>31421.919999999998</v>
      </c>
    </row>
    <row r="338" spans="1:10">
      <c r="A338" t="s">
        <v>407</v>
      </c>
      <c r="B338" t="s">
        <v>280</v>
      </c>
      <c r="C338" t="s">
        <v>313</v>
      </c>
      <c r="D338" t="s">
        <v>252</v>
      </c>
      <c r="E338" t="s">
        <v>5</v>
      </c>
      <c r="F338" t="s">
        <v>245</v>
      </c>
      <c r="G338" t="s">
        <v>295</v>
      </c>
      <c r="H338">
        <v>10</v>
      </c>
      <c r="I338">
        <v>2682.33</v>
      </c>
      <c r="J338">
        <v>26823.3</v>
      </c>
    </row>
    <row r="339" spans="1:10">
      <c r="A339" s="26">
        <v>44995</v>
      </c>
      <c r="B339" t="s">
        <v>271</v>
      </c>
      <c r="C339" t="s">
        <v>244</v>
      </c>
      <c r="D339" t="s">
        <v>237</v>
      </c>
      <c r="E339" t="s">
        <v>8</v>
      </c>
      <c r="F339" t="s">
        <v>259</v>
      </c>
      <c r="G339" t="s">
        <v>298</v>
      </c>
      <c r="H339">
        <v>6</v>
      </c>
      <c r="I339">
        <v>4086.27</v>
      </c>
      <c r="J339">
        <v>24517.62</v>
      </c>
    </row>
    <row r="340" spans="1:10">
      <c r="A340" t="s">
        <v>324</v>
      </c>
      <c r="B340" t="s">
        <v>271</v>
      </c>
      <c r="C340" t="s">
        <v>244</v>
      </c>
      <c r="D340" t="s">
        <v>237</v>
      </c>
      <c r="E340" t="s">
        <v>8</v>
      </c>
      <c r="F340" t="s">
        <v>259</v>
      </c>
      <c r="G340" t="s">
        <v>179</v>
      </c>
      <c r="H340">
        <v>8</v>
      </c>
      <c r="I340">
        <v>827.02</v>
      </c>
      <c r="J340">
        <v>6616.16</v>
      </c>
    </row>
    <row r="341" spans="1:10">
      <c r="A341" s="26">
        <v>45051</v>
      </c>
      <c r="B341" t="s">
        <v>280</v>
      </c>
      <c r="C341" t="s">
        <v>281</v>
      </c>
      <c r="D341" t="s">
        <v>252</v>
      </c>
      <c r="E341" t="s">
        <v>5</v>
      </c>
      <c r="F341" t="s">
        <v>250</v>
      </c>
      <c r="G341" t="s">
        <v>277</v>
      </c>
      <c r="H341">
        <v>14</v>
      </c>
      <c r="I341">
        <v>4728.4399999999996</v>
      </c>
      <c r="J341">
        <v>66198.16</v>
      </c>
    </row>
    <row r="342" spans="1:10">
      <c r="A342" t="s">
        <v>417</v>
      </c>
      <c r="B342" t="s">
        <v>248</v>
      </c>
      <c r="C342" t="s">
        <v>261</v>
      </c>
      <c r="D342" t="s">
        <v>247</v>
      </c>
      <c r="E342" t="s">
        <v>6</v>
      </c>
      <c r="F342" t="s">
        <v>233</v>
      </c>
      <c r="G342" t="s">
        <v>287</v>
      </c>
      <c r="H342">
        <v>11</v>
      </c>
      <c r="I342">
        <v>575.73</v>
      </c>
      <c r="J342">
        <v>6333.03</v>
      </c>
    </row>
    <row r="343" spans="1:10">
      <c r="A343" t="s">
        <v>418</v>
      </c>
      <c r="B343" t="s">
        <v>240</v>
      </c>
      <c r="C343" t="s">
        <v>274</v>
      </c>
      <c r="D343" t="s">
        <v>232</v>
      </c>
      <c r="E343" t="s">
        <v>6</v>
      </c>
      <c r="F343" t="s">
        <v>233</v>
      </c>
      <c r="G343" t="s">
        <v>287</v>
      </c>
      <c r="H343">
        <v>4</v>
      </c>
      <c r="I343">
        <v>578.35</v>
      </c>
      <c r="J343">
        <v>2313.4</v>
      </c>
    </row>
    <row r="344" spans="1:10">
      <c r="A344" t="s">
        <v>419</v>
      </c>
      <c r="B344" t="s">
        <v>268</v>
      </c>
      <c r="C344" t="s">
        <v>244</v>
      </c>
      <c r="D344" t="s">
        <v>237</v>
      </c>
      <c r="E344" t="s">
        <v>8</v>
      </c>
      <c r="F344" t="s">
        <v>238</v>
      </c>
      <c r="G344" t="s">
        <v>239</v>
      </c>
      <c r="H344">
        <v>8</v>
      </c>
      <c r="I344">
        <v>3043.72</v>
      </c>
      <c r="J344">
        <v>24349.759999999998</v>
      </c>
    </row>
    <row r="345" spans="1:10">
      <c r="A345" t="s">
        <v>410</v>
      </c>
      <c r="B345" t="s">
        <v>254</v>
      </c>
      <c r="C345" t="s">
        <v>258</v>
      </c>
      <c r="D345" t="s">
        <v>242</v>
      </c>
      <c r="E345" t="s">
        <v>8</v>
      </c>
      <c r="F345" t="s">
        <v>233</v>
      </c>
      <c r="G345" t="s">
        <v>234</v>
      </c>
      <c r="H345">
        <v>10</v>
      </c>
      <c r="I345">
        <v>3339.72</v>
      </c>
      <c r="J345">
        <v>33397.199999999997</v>
      </c>
    </row>
    <row r="346" spans="1:10">
      <c r="A346" s="26">
        <v>45269</v>
      </c>
      <c r="B346" t="s">
        <v>230</v>
      </c>
      <c r="C346" t="s">
        <v>281</v>
      </c>
      <c r="D346" t="s">
        <v>252</v>
      </c>
      <c r="E346" t="s">
        <v>5</v>
      </c>
      <c r="F346" t="s">
        <v>233</v>
      </c>
      <c r="G346" t="s">
        <v>234</v>
      </c>
      <c r="H346">
        <v>7</v>
      </c>
      <c r="I346">
        <v>2286.4</v>
      </c>
      <c r="J346">
        <v>16004.8</v>
      </c>
    </row>
    <row r="347" spans="1:10">
      <c r="A347" t="s">
        <v>312</v>
      </c>
      <c r="B347" t="s">
        <v>271</v>
      </c>
      <c r="C347" t="s">
        <v>255</v>
      </c>
      <c r="D347" t="s">
        <v>237</v>
      </c>
      <c r="E347" t="s">
        <v>8</v>
      </c>
      <c r="F347" t="s">
        <v>238</v>
      </c>
      <c r="G347" t="s">
        <v>296</v>
      </c>
      <c r="H347">
        <v>6</v>
      </c>
      <c r="I347">
        <v>4862.26</v>
      </c>
      <c r="J347">
        <v>29173.56</v>
      </c>
    </row>
    <row r="348" spans="1:10">
      <c r="A348" t="s">
        <v>389</v>
      </c>
      <c r="B348" t="s">
        <v>260</v>
      </c>
      <c r="C348" t="s">
        <v>283</v>
      </c>
      <c r="D348" t="s">
        <v>242</v>
      </c>
      <c r="E348" t="s">
        <v>8</v>
      </c>
      <c r="F348" t="s">
        <v>259</v>
      </c>
      <c r="G348" t="s">
        <v>182</v>
      </c>
      <c r="H348">
        <v>6</v>
      </c>
      <c r="I348">
        <v>3470.44</v>
      </c>
      <c r="J348">
        <v>20822.64</v>
      </c>
    </row>
    <row r="349" spans="1:10">
      <c r="A349" t="s">
        <v>420</v>
      </c>
      <c r="B349" t="s">
        <v>257</v>
      </c>
      <c r="C349" t="s">
        <v>231</v>
      </c>
      <c r="D349" t="s">
        <v>232</v>
      </c>
      <c r="E349" t="s">
        <v>6</v>
      </c>
      <c r="F349" t="s">
        <v>245</v>
      </c>
      <c r="G349" t="s">
        <v>266</v>
      </c>
      <c r="H349">
        <v>5</v>
      </c>
      <c r="I349">
        <v>4175.13</v>
      </c>
      <c r="J349">
        <v>20875.650000000001</v>
      </c>
    </row>
    <row r="350" spans="1:10">
      <c r="A350" s="26">
        <v>45056</v>
      </c>
      <c r="B350" t="s">
        <v>268</v>
      </c>
      <c r="C350" t="s">
        <v>241</v>
      </c>
      <c r="D350" t="s">
        <v>242</v>
      </c>
      <c r="E350" t="s">
        <v>8</v>
      </c>
      <c r="F350" t="s">
        <v>250</v>
      </c>
      <c r="G350" t="s">
        <v>277</v>
      </c>
      <c r="H350">
        <v>16</v>
      </c>
      <c r="I350">
        <v>1880.67</v>
      </c>
      <c r="J350">
        <v>30090.720000000001</v>
      </c>
    </row>
    <row r="351" spans="1:10">
      <c r="A351" s="26">
        <v>45238</v>
      </c>
      <c r="B351" t="s">
        <v>260</v>
      </c>
      <c r="C351" t="s">
        <v>313</v>
      </c>
      <c r="D351" t="s">
        <v>252</v>
      </c>
      <c r="E351" t="s">
        <v>5</v>
      </c>
      <c r="F351" t="s">
        <v>259</v>
      </c>
      <c r="G351" t="s">
        <v>298</v>
      </c>
      <c r="H351">
        <v>7</v>
      </c>
      <c r="I351">
        <v>2187.71</v>
      </c>
      <c r="J351">
        <v>15313.97</v>
      </c>
    </row>
    <row r="352" spans="1:10">
      <c r="A352" t="s">
        <v>309</v>
      </c>
      <c r="B352" t="s">
        <v>240</v>
      </c>
      <c r="C352" t="s">
        <v>283</v>
      </c>
      <c r="D352" t="s">
        <v>242</v>
      </c>
      <c r="E352" t="s">
        <v>8</v>
      </c>
      <c r="F352" t="s">
        <v>245</v>
      </c>
      <c r="G352" t="s">
        <v>269</v>
      </c>
      <c r="H352">
        <v>14</v>
      </c>
      <c r="I352">
        <v>1024.22</v>
      </c>
      <c r="J352">
        <v>14339.08</v>
      </c>
    </row>
    <row r="353" spans="1:10">
      <c r="A353" t="s">
        <v>294</v>
      </c>
      <c r="B353" t="s">
        <v>271</v>
      </c>
      <c r="C353" t="s">
        <v>244</v>
      </c>
      <c r="D353" t="s">
        <v>237</v>
      </c>
      <c r="E353" t="s">
        <v>8</v>
      </c>
      <c r="F353" t="s">
        <v>245</v>
      </c>
      <c r="G353" t="s">
        <v>266</v>
      </c>
      <c r="H353">
        <v>17</v>
      </c>
      <c r="I353">
        <v>544.41999999999996</v>
      </c>
      <c r="J353">
        <v>9255.14</v>
      </c>
    </row>
    <row r="354" spans="1:10">
      <c r="A354" t="s">
        <v>334</v>
      </c>
      <c r="B354" t="s">
        <v>254</v>
      </c>
      <c r="C354" t="s">
        <v>249</v>
      </c>
      <c r="D354" t="s">
        <v>232</v>
      </c>
      <c r="E354" t="s">
        <v>6</v>
      </c>
      <c r="F354" t="s">
        <v>238</v>
      </c>
      <c r="G354" t="s">
        <v>296</v>
      </c>
      <c r="H354">
        <v>4</v>
      </c>
      <c r="I354">
        <v>942.96</v>
      </c>
      <c r="J354">
        <v>3771.84</v>
      </c>
    </row>
    <row r="355" spans="1:10">
      <c r="A355" s="26">
        <v>45211</v>
      </c>
      <c r="B355" t="s">
        <v>271</v>
      </c>
      <c r="C355" t="s">
        <v>255</v>
      </c>
      <c r="D355" t="s">
        <v>237</v>
      </c>
      <c r="E355" t="s">
        <v>8</v>
      </c>
      <c r="F355" t="s">
        <v>233</v>
      </c>
      <c r="G355" t="s">
        <v>304</v>
      </c>
      <c r="H355">
        <v>12</v>
      </c>
      <c r="I355">
        <v>1799.38</v>
      </c>
      <c r="J355">
        <v>21592.560000000001</v>
      </c>
    </row>
    <row r="356" spans="1:10">
      <c r="A356" t="s">
        <v>264</v>
      </c>
      <c r="B356" t="s">
        <v>248</v>
      </c>
      <c r="C356" t="s">
        <v>255</v>
      </c>
      <c r="D356" t="s">
        <v>237</v>
      </c>
      <c r="E356" t="s">
        <v>8</v>
      </c>
      <c r="F356" t="s">
        <v>245</v>
      </c>
      <c r="G356" t="s">
        <v>269</v>
      </c>
      <c r="H356">
        <v>11</v>
      </c>
      <c r="I356">
        <v>1634.39</v>
      </c>
      <c r="J356">
        <v>17978.29</v>
      </c>
    </row>
    <row r="357" spans="1:10">
      <c r="A357" s="26">
        <v>45148</v>
      </c>
      <c r="B357" t="s">
        <v>280</v>
      </c>
      <c r="C357" t="s">
        <v>249</v>
      </c>
      <c r="D357" t="s">
        <v>232</v>
      </c>
      <c r="E357" t="s">
        <v>6</v>
      </c>
      <c r="F357" t="s">
        <v>233</v>
      </c>
      <c r="G357" t="s">
        <v>301</v>
      </c>
      <c r="H357">
        <v>3</v>
      </c>
      <c r="I357">
        <v>2950.28</v>
      </c>
      <c r="J357">
        <v>8850.84</v>
      </c>
    </row>
    <row r="358" spans="1:10">
      <c r="A358" t="s">
        <v>421</v>
      </c>
      <c r="B358" t="s">
        <v>248</v>
      </c>
      <c r="C358" t="s">
        <v>274</v>
      </c>
      <c r="D358" t="s">
        <v>232</v>
      </c>
      <c r="E358" t="s">
        <v>6</v>
      </c>
      <c r="F358" t="s">
        <v>250</v>
      </c>
      <c r="G358" t="s">
        <v>293</v>
      </c>
      <c r="H358">
        <v>10</v>
      </c>
      <c r="I358">
        <v>4788</v>
      </c>
      <c r="J358">
        <v>47880</v>
      </c>
    </row>
    <row r="359" spans="1:10">
      <c r="A359" t="s">
        <v>334</v>
      </c>
      <c r="B359" t="s">
        <v>235</v>
      </c>
      <c r="C359" t="s">
        <v>236</v>
      </c>
      <c r="D359" t="s">
        <v>237</v>
      </c>
      <c r="E359" t="s">
        <v>8</v>
      </c>
      <c r="F359" t="s">
        <v>233</v>
      </c>
      <c r="G359" t="s">
        <v>287</v>
      </c>
      <c r="H359">
        <v>8</v>
      </c>
      <c r="I359">
        <v>1807.67</v>
      </c>
      <c r="J359">
        <v>14461.36</v>
      </c>
    </row>
    <row r="360" spans="1:10">
      <c r="A360" s="26">
        <v>44967</v>
      </c>
      <c r="B360" t="s">
        <v>257</v>
      </c>
      <c r="C360" t="s">
        <v>241</v>
      </c>
      <c r="D360" t="s">
        <v>242</v>
      </c>
      <c r="E360" t="s">
        <v>8</v>
      </c>
      <c r="F360" t="s">
        <v>250</v>
      </c>
      <c r="G360" t="s">
        <v>293</v>
      </c>
      <c r="H360">
        <v>19</v>
      </c>
      <c r="I360">
        <v>797.02</v>
      </c>
      <c r="J360">
        <v>15143.38</v>
      </c>
    </row>
    <row r="361" spans="1:10">
      <c r="A361" t="s">
        <v>360</v>
      </c>
      <c r="B361" t="s">
        <v>235</v>
      </c>
      <c r="C361" t="s">
        <v>236</v>
      </c>
      <c r="D361" t="s">
        <v>237</v>
      </c>
      <c r="E361" t="s">
        <v>8</v>
      </c>
      <c r="F361" t="s">
        <v>259</v>
      </c>
      <c r="G361" t="s">
        <v>298</v>
      </c>
      <c r="H361">
        <v>2</v>
      </c>
      <c r="I361">
        <v>1195.99</v>
      </c>
      <c r="J361">
        <v>2391.98</v>
      </c>
    </row>
    <row r="362" spans="1:10">
      <c r="A362" s="26">
        <v>45082</v>
      </c>
      <c r="B362" t="s">
        <v>268</v>
      </c>
      <c r="C362" t="s">
        <v>276</v>
      </c>
      <c r="D362" t="s">
        <v>247</v>
      </c>
      <c r="E362" t="s">
        <v>6</v>
      </c>
      <c r="F362" t="s">
        <v>245</v>
      </c>
      <c r="G362" t="s">
        <v>295</v>
      </c>
      <c r="H362">
        <v>20</v>
      </c>
      <c r="I362">
        <v>2056.65</v>
      </c>
      <c r="J362">
        <v>41133</v>
      </c>
    </row>
    <row r="363" spans="1:10">
      <c r="A363" s="26">
        <v>45019</v>
      </c>
      <c r="B363" t="s">
        <v>268</v>
      </c>
      <c r="C363" t="s">
        <v>255</v>
      </c>
      <c r="D363" t="s">
        <v>237</v>
      </c>
      <c r="E363" t="s">
        <v>8</v>
      </c>
      <c r="F363" t="s">
        <v>233</v>
      </c>
      <c r="G363" t="s">
        <v>304</v>
      </c>
      <c r="H363">
        <v>16</v>
      </c>
      <c r="I363">
        <v>4817.63</v>
      </c>
      <c r="J363">
        <v>77082.080000000002</v>
      </c>
    </row>
    <row r="364" spans="1:10">
      <c r="A364" t="s">
        <v>336</v>
      </c>
      <c r="B364" t="s">
        <v>235</v>
      </c>
      <c r="C364" t="s">
        <v>258</v>
      </c>
      <c r="D364" t="s">
        <v>242</v>
      </c>
      <c r="E364" t="s">
        <v>8</v>
      </c>
      <c r="F364" t="s">
        <v>245</v>
      </c>
      <c r="G364" t="s">
        <v>269</v>
      </c>
      <c r="H364">
        <v>7</v>
      </c>
      <c r="I364">
        <v>4950.24</v>
      </c>
      <c r="J364">
        <v>34651.68</v>
      </c>
    </row>
    <row r="365" spans="1:10">
      <c r="A365" t="s">
        <v>326</v>
      </c>
      <c r="B365" t="s">
        <v>268</v>
      </c>
      <c r="C365" t="s">
        <v>249</v>
      </c>
      <c r="D365" t="s">
        <v>232</v>
      </c>
      <c r="E365" t="s">
        <v>6</v>
      </c>
      <c r="F365" t="s">
        <v>245</v>
      </c>
      <c r="G365" t="s">
        <v>269</v>
      </c>
      <c r="H365">
        <v>9</v>
      </c>
      <c r="I365">
        <v>2935.97</v>
      </c>
      <c r="J365">
        <v>26423.73</v>
      </c>
    </row>
    <row r="366" spans="1:10">
      <c r="A366" s="26">
        <v>45181</v>
      </c>
      <c r="B366" t="s">
        <v>280</v>
      </c>
      <c r="C366" t="s">
        <v>316</v>
      </c>
      <c r="D366" t="s">
        <v>247</v>
      </c>
      <c r="E366" t="s">
        <v>6</v>
      </c>
      <c r="F366" t="s">
        <v>250</v>
      </c>
      <c r="G366" t="s">
        <v>251</v>
      </c>
      <c r="H366">
        <v>9</v>
      </c>
      <c r="I366">
        <v>3560.8</v>
      </c>
      <c r="J366">
        <v>32047.200000000001</v>
      </c>
    </row>
    <row r="367" spans="1:10">
      <c r="A367" s="26">
        <v>45141</v>
      </c>
      <c r="B367" t="s">
        <v>280</v>
      </c>
      <c r="C367" t="s">
        <v>276</v>
      </c>
      <c r="D367" t="s">
        <v>247</v>
      </c>
      <c r="E367" t="s">
        <v>6</v>
      </c>
      <c r="F367" t="s">
        <v>238</v>
      </c>
      <c r="G367" t="s">
        <v>303</v>
      </c>
      <c r="H367">
        <v>11</v>
      </c>
      <c r="I367">
        <v>4890.92</v>
      </c>
      <c r="J367">
        <v>53800.12</v>
      </c>
    </row>
    <row r="368" spans="1:10">
      <c r="A368" t="s">
        <v>388</v>
      </c>
      <c r="B368" t="s">
        <v>254</v>
      </c>
      <c r="C368" t="s">
        <v>258</v>
      </c>
      <c r="D368" t="s">
        <v>242</v>
      </c>
      <c r="E368" t="s">
        <v>8</v>
      </c>
      <c r="F368" t="s">
        <v>245</v>
      </c>
      <c r="G368" t="s">
        <v>246</v>
      </c>
      <c r="H368">
        <v>8</v>
      </c>
      <c r="I368">
        <v>4143.5600000000004</v>
      </c>
      <c r="J368">
        <v>33148.480000000003</v>
      </c>
    </row>
    <row r="369" spans="1:10">
      <c r="A369" t="s">
        <v>422</v>
      </c>
      <c r="B369" t="s">
        <v>271</v>
      </c>
      <c r="C369" t="s">
        <v>255</v>
      </c>
      <c r="D369" t="s">
        <v>237</v>
      </c>
      <c r="E369" t="s">
        <v>8</v>
      </c>
      <c r="F369" t="s">
        <v>250</v>
      </c>
      <c r="G369" t="s">
        <v>293</v>
      </c>
      <c r="H369">
        <v>4</v>
      </c>
      <c r="I369">
        <v>2395.66</v>
      </c>
      <c r="J369">
        <v>9582.64</v>
      </c>
    </row>
    <row r="370" spans="1:10">
      <c r="A370" s="26">
        <v>45177</v>
      </c>
      <c r="B370" t="s">
        <v>254</v>
      </c>
      <c r="C370" t="s">
        <v>316</v>
      </c>
      <c r="D370" t="s">
        <v>247</v>
      </c>
      <c r="E370" t="s">
        <v>6</v>
      </c>
      <c r="F370" t="s">
        <v>245</v>
      </c>
      <c r="G370" t="s">
        <v>266</v>
      </c>
      <c r="H370">
        <v>18</v>
      </c>
      <c r="I370">
        <v>1582.02</v>
      </c>
      <c r="J370">
        <v>28476.36</v>
      </c>
    </row>
    <row r="371" spans="1:10">
      <c r="A371" t="s">
        <v>423</v>
      </c>
      <c r="B371" t="s">
        <v>230</v>
      </c>
      <c r="C371" t="s">
        <v>276</v>
      </c>
      <c r="D371" t="s">
        <v>247</v>
      </c>
      <c r="E371" t="s">
        <v>6</v>
      </c>
      <c r="F371" t="s">
        <v>245</v>
      </c>
      <c r="G371" t="s">
        <v>269</v>
      </c>
      <c r="H371">
        <v>14</v>
      </c>
      <c r="I371">
        <v>3381.77</v>
      </c>
      <c r="J371">
        <v>47344.78</v>
      </c>
    </row>
    <row r="372" spans="1:10">
      <c r="A372" t="s">
        <v>315</v>
      </c>
      <c r="B372" t="s">
        <v>280</v>
      </c>
      <c r="C372" t="s">
        <v>241</v>
      </c>
      <c r="D372" t="s">
        <v>242</v>
      </c>
      <c r="E372" t="s">
        <v>8</v>
      </c>
      <c r="F372" t="s">
        <v>238</v>
      </c>
      <c r="G372" t="s">
        <v>256</v>
      </c>
      <c r="H372">
        <v>16</v>
      </c>
      <c r="I372">
        <v>2580.42</v>
      </c>
      <c r="J372">
        <v>41286.720000000001</v>
      </c>
    </row>
    <row r="373" spans="1:10">
      <c r="A373" t="s">
        <v>420</v>
      </c>
      <c r="B373" t="s">
        <v>260</v>
      </c>
      <c r="C373" t="s">
        <v>316</v>
      </c>
      <c r="D373" t="s">
        <v>247</v>
      </c>
      <c r="E373" t="s">
        <v>6</v>
      </c>
      <c r="F373" t="s">
        <v>245</v>
      </c>
      <c r="G373" t="s">
        <v>269</v>
      </c>
      <c r="H373">
        <v>3</v>
      </c>
      <c r="I373">
        <v>3838.25</v>
      </c>
      <c r="J373">
        <v>11514.75</v>
      </c>
    </row>
    <row r="374" spans="1:10">
      <c r="A374" t="s">
        <v>343</v>
      </c>
      <c r="B374" t="s">
        <v>260</v>
      </c>
      <c r="C374" t="s">
        <v>255</v>
      </c>
      <c r="D374" t="s">
        <v>237</v>
      </c>
      <c r="E374" t="s">
        <v>8</v>
      </c>
      <c r="F374" t="s">
        <v>250</v>
      </c>
      <c r="G374" t="s">
        <v>277</v>
      </c>
      <c r="H374">
        <v>2</v>
      </c>
      <c r="I374">
        <v>591.6</v>
      </c>
      <c r="J374">
        <v>1183.2</v>
      </c>
    </row>
    <row r="375" spans="1:10">
      <c r="A375" t="s">
        <v>424</v>
      </c>
      <c r="B375" t="s">
        <v>240</v>
      </c>
      <c r="C375" t="s">
        <v>313</v>
      </c>
      <c r="D375" t="s">
        <v>252</v>
      </c>
      <c r="E375" t="s">
        <v>5</v>
      </c>
      <c r="F375" t="s">
        <v>245</v>
      </c>
      <c r="G375" t="s">
        <v>269</v>
      </c>
      <c r="H375">
        <v>1</v>
      </c>
      <c r="I375">
        <v>2709.05</v>
      </c>
      <c r="J375">
        <v>2709.05</v>
      </c>
    </row>
    <row r="376" spans="1:10">
      <c r="A376" s="26">
        <v>45177</v>
      </c>
      <c r="B376" t="s">
        <v>248</v>
      </c>
      <c r="C376" t="s">
        <v>241</v>
      </c>
      <c r="D376" t="s">
        <v>242</v>
      </c>
      <c r="E376" t="s">
        <v>8</v>
      </c>
      <c r="F376" t="s">
        <v>259</v>
      </c>
      <c r="G376" t="s">
        <v>298</v>
      </c>
      <c r="H376">
        <v>5</v>
      </c>
      <c r="I376">
        <v>194.7</v>
      </c>
      <c r="J376">
        <v>973.5</v>
      </c>
    </row>
    <row r="377" spans="1:10">
      <c r="A377" t="s">
        <v>402</v>
      </c>
      <c r="B377" t="s">
        <v>240</v>
      </c>
      <c r="C377" t="s">
        <v>276</v>
      </c>
      <c r="D377" t="s">
        <v>247</v>
      </c>
      <c r="E377" t="s">
        <v>6</v>
      </c>
      <c r="F377" t="s">
        <v>238</v>
      </c>
      <c r="G377" t="s">
        <v>256</v>
      </c>
      <c r="H377">
        <v>4</v>
      </c>
      <c r="I377">
        <v>900.33</v>
      </c>
      <c r="J377">
        <v>3601.32</v>
      </c>
    </row>
    <row r="378" spans="1:10">
      <c r="A378" t="s">
        <v>425</v>
      </c>
      <c r="B378" t="s">
        <v>254</v>
      </c>
      <c r="C378" t="s">
        <v>244</v>
      </c>
      <c r="D378" t="s">
        <v>237</v>
      </c>
      <c r="E378" t="s">
        <v>8</v>
      </c>
      <c r="F378" t="s">
        <v>250</v>
      </c>
      <c r="G378" t="s">
        <v>251</v>
      </c>
      <c r="H378">
        <v>13</v>
      </c>
      <c r="I378">
        <v>3574.45</v>
      </c>
      <c r="J378">
        <v>46467.85</v>
      </c>
    </row>
    <row r="379" spans="1:10">
      <c r="A379" t="s">
        <v>332</v>
      </c>
      <c r="B379" t="s">
        <v>235</v>
      </c>
      <c r="C379" t="s">
        <v>273</v>
      </c>
      <c r="D379" t="s">
        <v>252</v>
      </c>
      <c r="E379" t="s">
        <v>5</v>
      </c>
      <c r="F379" t="s">
        <v>259</v>
      </c>
      <c r="G379" t="s">
        <v>179</v>
      </c>
      <c r="H379">
        <v>20</v>
      </c>
      <c r="I379">
        <v>1637.44</v>
      </c>
      <c r="J379">
        <v>32748.799999999999</v>
      </c>
    </row>
    <row r="380" spans="1:10">
      <c r="A380" t="s">
        <v>351</v>
      </c>
      <c r="B380" t="s">
        <v>240</v>
      </c>
      <c r="C380" t="s">
        <v>283</v>
      </c>
      <c r="D380" t="s">
        <v>242</v>
      </c>
      <c r="E380" t="s">
        <v>8</v>
      </c>
      <c r="F380" t="s">
        <v>233</v>
      </c>
      <c r="G380" t="s">
        <v>301</v>
      </c>
      <c r="H380">
        <v>14</v>
      </c>
      <c r="I380">
        <v>3177.8</v>
      </c>
      <c r="J380">
        <v>44489.2</v>
      </c>
    </row>
    <row r="381" spans="1:10">
      <c r="A381" t="s">
        <v>403</v>
      </c>
      <c r="B381" t="s">
        <v>257</v>
      </c>
      <c r="C381" t="s">
        <v>258</v>
      </c>
      <c r="D381" t="s">
        <v>242</v>
      </c>
      <c r="E381" t="s">
        <v>8</v>
      </c>
      <c r="F381" t="s">
        <v>259</v>
      </c>
      <c r="G381" t="s">
        <v>182</v>
      </c>
      <c r="H381">
        <v>1</v>
      </c>
      <c r="I381">
        <v>3382.37</v>
      </c>
      <c r="J381">
        <v>3382.37</v>
      </c>
    </row>
    <row r="382" spans="1:10">
      <c r="A382" t="s">
        <v>321</v>
      </c>
      <c r="B382" t="s">
        <v>230</v>
      </c>
      <c r="C382" t="s">
        <v>273</v>
      </c>
      <c r="D382" t="s">
        <v>252</v>
      </c>
      <c r="E382" t="s">
        <v>5</v>
      </c>
      <c r="F382" t="s">
        <v>238</v>
      </c>
      <c r="G382" t="s">
        <v>303</v>
      </c>
      <c r="H382">
        <v>19</v>
      </c>
      <c r="I382">
        <v>2816.52</v>
      </c>
      <c r="J382">
        <v>53513.88</v>
      </c>
    </row>
    <row r="383" spans="1:10">
      <c r="A383" t="s">
        <v>272</v>
      </c>
      <c r="B383" t="s">
        <v>230</v>
      </c>
      <c r="C383" t="s">
        <v>313</v>
      </c>
      <c r="D383" t="s">
        <v>252</v>
      </c>
      <c r="E383" t="s">
        <v>5</v>
      </c>
      <c r="F383" t="s">
        <v>250</v>
      </c>
      <c r="G383" t="s">
        <v>284</v>
      </c>
      <c r="H383">
        <v>13</v>
      </c>
      <c r="I383">
        <v>3417.94</v>
      </c>
      <c r="J383">
        <v>44433.22</v>
      </c>
    </row>
    <row r="384" spans="1:10">
      <c r="A384" t="s">
        <v>253</v>
      </c>
      <c r="B384" t="s">
        <v>230</v>
      </c>
      <c r="C384" t="s">
        <v>258</v>
      </c>
      <c r="D384" t="s">
        <v>242</v>
      </c>
      <c r="E384" t="s">
        <v>8</v>
      </c>
      <c r="F384" t="s">
        <v>245</v>
      </c>
      <c r="G384" t="s">
        <v>295</v>
      </c>
      <c r="H384">
        <v>14</v>
      </c>
      <c r="I384">
        <v>917.55</v>
      </c>
      <c r="J384">
        <v>12845.7</v>
      </c>
    </row>
    <row r="385" spans="1:10">
      <c r="A385" s="26">
        <v>45263</v>
      </c>
      <c r="B385" t="s">
        <v>260</v>
      </c>
      <c r="C385" t="s">
        <v>231</v>
      </c>
      <c r="D385" t="s">
        <v>232</v>
      </c>
      <c r="E385" t="s">
        <v>6</v>
      </c>
      <c r="F385" t="s">
        <v>259</v>
      </c>
      <c r="G385" t="s">
        <v>179</v>
      </c>
      <c r="H385">
        <v>1</v>
      </c>
      <c r="I385">
        <v>1598.87</v>
      </c>
      <c r="J385">
        <v>1598.87</v>
      </c>
    </row>
    <row r="386" spans="1:10">
      <c r="A386" s="26">
        <v>44936</v>
      </c>
      <c r="B386" t="s">
        <v>260</v>
      </c>
      <c r="C386" t="s">
        <v>273</v>
      </c>
      <c r="D386" t="s">
        <v>252</v>
      </c>
      <c r="E386" t="s">
        <v>5</v>
      </c>
      <c r="F386" t="s">
        <v>233</v>
      </c>
      <c r="G386" t="s">
        <v>234</v>
      </c>
      <c r="H386">
        <v>7</v>
      </c>
      <c r="I386">
        <v>405.27</v>
      </c>
      <c r="J386">
        <v>2836.89</v>
      </c>
    </row>
    <row r="387" spans="1:10">
      <c r="A387" s="26">
        <v>45270</v>
      </c>
      <c r="B387" t="s">
        <v>260</v>
      </c>
      <c r="C387" t="s">
        <v>249</v>
      </c>
      <c r="D387" t="s">
        <v>232</v>
      </c>
      <c r="E387" t="s">
        <v>6</v>
      </c>
      <c r="F387" t="s">
        <v>250</v>
      </c>
      <c r="G387" t="s">
        <v>277</v>
      </c>
      <c r="H387">
        <v>5</v>
      </c>
      <c r="I387">
        <v>2819.92</v>
      </c>
      <c r="J387">
        <v>14099.6</v>
      </c>
    </row>
    <row r="388" spans="1:10">
      <c r="A388" t="s">
        <v>426</v>
      </c>
      <c r="B388" t="s">
        <v>240</v>
      </c>
      <c r="C388" t="s">
        <v>258</v>
      </c>
      <c r="D388" t="s">
        <v>242</v>
      </c>
      <c r="E388" t="s">
        <v>8</v>
      </c>
      <c r="F388" t="s">
        <v>259</v>
      </c>
      <c r="G388" t="s">
        <v>179</v>
      </c>
      <c r="H388">
        <v>7</v>
      </c>
      <c r="I388">
        <v>4023.6</v>
      </c>
      <c r="J388">
        <v>28165.200000000001</v>
      </c>
    </row>
    <row r="389" spans="1:10">
      <c r="A389" t="s">
        <v>309</v>
      </c>
      <c r="B389" t="s">
        <v>248</v>
      </c>
      <c r="C389" t="s">
        <v>255</v>
      </c>
      <c r="D389" t="s">
        <v>237</v>
      </c>
      <c r="E389" t="s">
        <v>8</v>
      </c>
      <c r="F389" t="s">
        <v>250</v>
      </c>
      <c r="G389" t="s">
        <v>277</v>
      </c>
      <c r="H389">
        <v>6</v>
      </c>
      <c r="I389">
        <v>4911.79</v>
      </c>
      <c r="J389">
        <v>29470.74</v>
      </c>
    </row>
    <row r="390" spans="1:10">
      <c r="A390" s="26">
        <v>45210</v>
      </c>
      <c r="B390" t="s">
        <v>257</v>
      </c>
      <c r="C390" t="s">
        <v>283</v>
      </c>
      <c r="D390" t="s">
        <v>242</v>
      </c>
      <c r="E390" t="s">
        <v>8</v>
      </c>
      <c r="F390" t="s">
        <v>233</v>
      </c>
      <c r="G390" t="s">
        <v>287</v>
      </c>
      <c r="H390">
        <v>7</v>
      </c>
      <c r="I390">
        <v>2186.75</v>
      </c>
      <c r="J390">
        <v>15307.25</v>
      </c>
    </row>
    <row r="391" spans="1:10">
      <c r="A391" t="s">
        <v>317</v>
      </c>
      <c r="B391" t="s">
        <v>280</v>
      </c>
      <c r="C391" t="s">
        <v>273</v>
      </c>
      <c r="D391" t="s">
        <v>252</v>
      </c>
      <c r="E391" t="s">
        <v>5</v>
      </c>
      <c r="F391" t="s">
        <v>238</v>
      </c>
      <c r="G391" t="s">
        <v>239</v>
      </c>
      <c r="H391">
        <v>9</v>
      </c>
      <c r="I391">
        <v>2304.23</v>
      </c>
      <c r="J391">
        <v>20738.07</v>
      </c>
    </row>
    <row r="392" spans="1:10">
      <c r="A392" s="26">
        <v>45021</v>
      </c>
      <c r="B392" t="s">
        <v>257</v>
      </c>
      <c r="C392" t="s">
        <v>249</v>
      </c>
      <c r="D392" t="s">
        <v>232</v>
      </c>
      <c r="E392" t="s">
        <v>6</v>
      </c>
      <c r="F392" t="s">
        <v>259</v>
      </c>
      <c r="G392" t="s">
        <v>182</v>
      </c>
      <c r="H392">
        <v>6</v>
      </c>
      <c r="I392">
        <v>2282.5500000000002</v>
      </c>
      <c r="J392">
        <v>13695.3</v>
      </c>
    </row>
    <row r="393" spans="1:10">
      <c r="A393" t="s">
        <v>402</v>
      </c>
      <c r="B393" t="s">
        <v>248</v>
      </c>
      <c r="C393" t="s">
        <v>261</v>
      </c>
      <c r="D393" t="s">
        <v>247</v>
      </c>
      <c r="E393" t="s">
        <v>6</v>
      </c>
      <c r="F393" t="s">
        <v>259</v>
      </c>
      <c r="G393" t="s">
        <v>298</v>
      </c>
      <c r="H393">
        <v>4</v>
      </c>
      <c r="I393">
        <v>4778.2299999999996</v>
      </c>
      <c r="J393">
        <v>19112.919999999998</v>
      </c>
    </row>
    <row r="394" spans="1:10">
      <c r="A394" s="26">
        <v>44931</v>
      </c>
      <c r="B394" t="s">
        <v>260</v>
      </c>
      <c r="C394" t="s">
        <v>236</v>
      </c>
      <c r="D394" t="s">
        <v>237</v>
      </c>
      <c r="E394" t="s">
        <v>8</v>
      </c>
      <c r="F394" t="s">
        <v>245</v>
      </c>
      <c r="G394" t="s">
        <v>269</v>
      </c>
      <c r="H394">
        <v>11</v>
      </c>
      <c r="I394">
        <v>1286.08</v>
      </c>
      <c r="J394">
        <v>14146.88</v>
      </c>
    </row>
    <row r="395" spans="1:10">
      <c r="A395" t="s">
        <v>427</v>
      </c>
      <c r="B395" t="s">
        <v>268</v>
      </c>
      <c r="C395" t="s">
        <v>274</v>
      </c>
      <c r="D395" t="s">
        <v>232</v>
      </c>
      <c r="E395" t="s">
        <v>6</v>
      </c>
      <c r="F395" t="s">
        <v>259</v>
      </c>
      <c r="G395" t="s">
        <v>299</v>
      </c>
      <c r="H395">
        <v>19</v>
      </c>
      <c r="I395">
        <v>1844.31</v>
      </c>
      <c r="J395">
        <v>35041.89</v>
      </c>
    </row>
    <row r="396" spans="1:10">
      <c r="A396" s="26">
        <v>44969</v>
      </c>
      <c r="B396" t="s">
        <v>268</v>
      </c>
      <c r="C396" t="s">
        <v>261</v>
      </c>
      <c r="D396" t="s">
        <v>247</v>
      </c>
      <c r="E396" t="s">
        <v>6</v>
      </c>
      <c r="F396" t="s">
        <v>245</v>
      </c>
      <c r="G396" t="s">
        <v>246</v>
      </c>
      <c r="H396">
        <v>14</v>
      </c>
      <c r="I396">
        <v>148.43</v>
      </c>
      <c r="J396">
        <v>2078.02</v>
      </c>
    </row>
    <row r="397" spans="1:10">
      <c r="A397" s="26">
        <v>45140</v>
      </c>
      <c r="B397" t="s">
        <v>268</v>
      </c>
      <c r="C397" t="s">
        <v>316</v>
      </c>
      <c r="D397" t="s">
        <v>247</v>
      </c>
      <c r="E397" t="s">
        <v>6</v>
      </c>
      <c r="F397" t="s">
        <v>238</v>
      </c>
      <c r="G397" t="s">
        <v>256</v>
      </c>
      <c r="H397">
        <v>3</v>
      </c>
      <c r="I397">
        <v>2502.81</v>
      </c>
      <c r="J397">
        <v>7508.43</v>
      </c>
    </row>
    <row r="398" spans="1:10">
      <c r="A398" s="26">
        <v>45082</v>
      </c>
      <c r="B398" t="s">
        <v>280</v>
      </c>
      <c r="C398" t="s">
        <v>261</v>
      </c>
      <c r="D398" t="s">
        <v>247</v>
      </c>
      <c r="E398" t="s">
        <v>6</v>
      </c>
      <c r="F398" t="s">
        <v>233</v>
      </c>
      <c r="G398" t="s">
        <v>287</v>
      </c>
      <c r="H398">
        <v>7</v>
      </c>
      <c r="I398">
        <v>3721.37</v>
      </c>
      <c r="J398">
        <v>26049.59</v>
      </c>
    </row>
    <row r="399" spans="1:10">
      <c r="A399" t="s">
        <v>428</v>
      </c>
      <c r="B399" t="s">
        <v>268</v>
      </c>
      <c r="C399" t="s">
        <v>236</v>
      </c>
      <c r="D399" t="s">
        <v>237</v>
      </c>
      <c r="E399" t="s">
        <v>8</v>
      </c>
      <c r="F399" t="s">
        <v>233</v>
      </c>
      <c r="G399" t="s">
        <v>301</v>
      </c>
      <c r="H399">
        <v>2</v>
      </c>
      <c r="I399">
        <v>3719.83</v>
      </c>
      <c r="J399">
        <v>7439.66</v>
      </c>
    </row>
    <row r="400" spans="1:10">
      <c r="A400" s="26">
        <v>45148</v>
      </c>
      <c r="B400" t="s">
        <v>240</v>
      </c>
      <c r="C400" t="s">
        <v>281</v>
      </c>
      <c r="D400" t="s">
        <v>252</v>
      </c>
      <c r="E400" t="s">
        <v>5</v>
      </c>
      <c r="F400" t="s">
        <v>245</v>
      </c>
      <c r="G400" t="s">
        <v>246</v>
      </c>
      <c r="H400">
        <v>19</v>
      </c>
      <c r="I400">
        <v>2862.47</v>
      </c>
      <c r="J400">
        <v>54386.93</v>
      </c>
    </row>
    <row r="401" spans="1:10">
      <c r="A401" t="s">
        <v>282</v>
      </c>
      <c r="B401" t="s">
        <v>254</v>
      </c>
      <c r="C401" t="s">
        <v>244</v>
      </c>
      <c r="D401" t="s">
        <v>237</v>
      </c>
      <c r="E401" t="s">
        <v>8</v>
      </c>
      <c r="F401" t="s">
        <v>238</v>
      </c>
      <c r="G401" t="s">
        <v>239</v>
      </c>
      <c r="H401">
        <v>5</v>
      </c>
      <c r="I401">
        <v>4715.05</v>
      </c>
      <c r="J401">
        <v>23575.25</v>
      </c>
    </row>
    <row r="402" spans="1:10">
      <c r="A402" t="s">
        <v>408</v>
      </c>
      <c r="B402" t="s">
        <v>240</v>
      </c>
      <c r="C402" t="s">
        <v>313</v>
      </c>
      <c r="D402" t="s">
        <v>252</v>
      </c>
      <c r="E402" t="s">
        <v>5</v>
      </c>
      <c r="F402" t="s">
        <v>250</v>
      </c>
      <c r="G402" t="s">
        <v>284</v>
      </c>
      <c r="H402">
        <v>11</v>
      </c>
      <c r="I402">
        <v>3314</v>
      </c>
      <c r="J402">
        <v>36454</v>
      </c>
    </row>
    <row r="403" spans="1:10">
      <c r="A403" s="26">
        <v>45174</v>
      </c>
      <c r="B403" t="s">
        <v>257</v>
      </c>
      <c r="C403" t="s">
        <v>258</v>
      </c>
      <c r="D403" t="s">
        <v>242</v>
      </c>
      <c r="E403" t="s">
        <v>8</v>
      </c>
      <c r="F403" t="s">
        <v>233</v>
      </c>
      <c r="G403" t="s">
        <v>234</v>
      </c>
      <c r="H403">
        <v>3</v>
      </c>
      <c r="I403">
        <v>4146.75</v>
      </c>
      <c r="J403">
        <v>12440.25</v>
      </c>
    </row>
    <row r="404" spans="1:10">
      <c r="A404" s="26">
        <v>45054</v>
      </c>
      <c r="B404" t="s">
        <v>268</v>
      </c>
      <c r="C404" t="s">
        <v>255</v>
      </c>
      <c r="D404" t="s">
        <v>237</v>
      </c>
      <c r="E404" t="s">
        <v>8</v>
      </c>
      <c r="F404" t="s">
        <v>259</v>
      </c>
      <c r="G404" t="s">
        <v>299</v>
      </c>
      <c r="H404">
        <v>4</v>
      </c>
      <c r="I404">
        <v>4062.52</v>
      </c>
      <c r="J404">
        <v>16250.08</v>
      </c>
    </row>
    <row r="405" spans="1:10">
      <c r="A405" s="26">
        <v>45141</v>
      </c>
      <c r="B405" t="s">
        <v>268</v>
      </c>
      <c r="C405" t="s">
        <v>283</v>
      </c>
      <c r="D405" t="s">
        <v>242</v>
      </c>
      <c r="E405" t="s">
        <v>8</v>
      </c>
      <c r="F405" t="s">
        <v>259</v>
      </c>
      <c r="G405" t="s">
        <v>299</v>
      </c>
      <c r="H405">
        <v>4</v>
      </c>
      <c r="I405">
        <v>3022.21</v>
      </c>
      <c r="J405">
        <v>12088.84</v>
      </c>
    </row>
    <row r="406" spans="1:10">
      <c r="A406" s="26">
        <v>45019</v>
      </c>
      <c r="B406" t="s">
        <v>240</v>
      </c>
      <c r="C406" t="s">
        <v>281</v>
      </c>
      <c r="D406" t="s">
        <v>252</v>
      </c>
      <c r="E406" t="s">
        <v>5</v>
      </c>
      <c r="F406" t="s">
        <v>250</v>
      </c>
      <c r="G406" t="s">
        <v>277</v>
      </c>
      <c r="H406">
        <v>7</v>
      </c>
      <c r="I406">
        <v>217.04</v>
      </c>
      <c r="J406">
        <v>1519.28</v>
      </c>
    </row>
    <row r="407" spans="1:10">
      <c r="A407" s="26">
        <v>45115</v>
      </c>
      <c r="B407" t="s">
        <v>268</v>
      </c>
      <c r="C407" t="s">
        <v>283</v>
      </c>
      <c r="D407" t="s">
        <v>242</v>
      </c>
      <c r="E407" t="s">
        <v>8</v>
      </c>
      <c r="F407" t="s">
        <v>250</v>
      </c>
      <c r="G407" t="s">
        <v>277</v>
      </c>
      <c r="H407">
        <v>2</v>
      </c>
      <c r="I407">
        <v>4883.5600000000004</v>
      </c>
      <c r="J407">
        <v>9767.1200000000008</v>
      </c>
    </row>
    <row r="408" spans="1:10">
      <c r="A408" t="s">
        <v>429</v>
      </c>
      <c r="B408" t="s">
        <v>280</v>
      </c>
      <c r="C408" t="s">
        <v>316</v>
      </c>
      <c r="D408" t="s">
        <v>247</v>
      </c>
      <c r="E408" t="s">
        <v>6</v>
      </c>
      <c r="F408" t="s">
        <v>259</v>
      </c>
      <c r="G408" t="s">
        <v>298</v>
      </c>
      <c r="H408">
        <v>16</v>
      </c>
      <c r="I408">
        <v>2015.76</v>
      </c>
      <c r="J408">
        <v>32252.16</v>
      </c>
    </row>
    <row r="409" spans="1:10">
      <c r="A409" s="26">
        <v>45236</v>
      </c>
      <c r="B409" t="s">
        <v>271</v>
      </c>
      <c r="C409" t="s">
        <v>241</v>
      </c>
      <c r="D409" t="s">
        <v>242</v>
      </c>
      <c r="E409" t="s">
        <v>8</v>
      </c>
      <c r="F409" t="s">
        <v>250</v>
      </c>
      <c r="G409" t="s">
        <v>251</v>
      </c>
      <c r="H409">
        <v>1</v>
      </c>
      <c r="I409">
        <v>2777.22</v>
      </c>
      <c r="J409">
        <v>2777.22</v>
      </c>
    </row>
    <row r="410" spans="1:10">
      <c r="A410" t="s">
        <v>377</v>
      </c>
      <c r="B410" t="s">
        <v>235</v>
      </c>
      <c r="C410" t="s">
        <v>241</v>
      </c>
      <c r="D410" t="s">
        <v>242</v>
      </c>
      <c r="E410" t="s">
        <v>8</v>
      </c>
      <c r="F410" t="s">
        <v>233</v>
      </c>
      <c r="G410" t="s">
        <v>287</v>
      </c>
      <c r="H410">
        <v>13</v>
      </c>
      <c r="I410">
        <v>4318.62</v>
      </c>
      <c r="J410">
        <v>56142.06</v>
      </c>
    </row>
    <row r="411" spans="1:10">
      <c r="A411" t="s">
        <v>430</v>
      </c>
      <c r="B411" t="s">
        <v>280</v>
      </c>
      <c r="C411" t="s">
        <v>231</v>
      </c>
      <c r="D411" t="s">
        <v>232</v>
      </c>
      <c r="E411" t="s">
        <v>6</v>
      </c>
      <c r="F411" t="s">
        <v>259</v>
      </c>
      <c r="G411" t="s">
        <v>298</v>
      </c>
      <c r="H411">
        <v>15</v>
      </c>
      <c r="I411">
        <v>3225.2</v>
      </c>
      <c r="J411">
        <v>48378</v>
      </c>
    </row>
    <row r="412" spans="1:10">
      <c r="A412" t="s">
        <v>419</v>
      </c>
      <c r="B412" t="s">
        <v>257</v>
      </c>
      <c r="C412" t="s">
        <v>231</v>
      </c>
      <c r="D412" t="s">
        <v>232</v>
      </c>
      <c r="E412" t="s">
        <v>6</v>
      </c>
      <c r="F412" t="s">
        <v>259</v>
      </c>
      <c r="G412" t="s">
        <v>298</v>
      </c>
      <c r="H412">
        <v>9</v>
      </c>
      <c r="I412">
        <v>631.99</v>
      </c>
      <c r="J412">
        <v>5687.91</v>
      </c>
    </row>
    <row r="413" spans="1:10">
      <c r="A413" s="26">
        <v>45051</v>
      </c>
      <c r="B413" t="s">
        <v>248</v>
      </c>
      <c r="C413" t="s">
        <v>281</v>
      </c>
      <c r="D413" t="s">
        <v>252</v>
      </c>
      <c r="E413" t="s">
        <v>5</v>
      </c>
      <c r="F413" t="s">
        <v>238</v>
      </c>
      <c r="G413" t="s">
        <v>296</v>
      </c>
      <c r="H413">
        <v>16</v>
      </c>
      <c r="I413">
        <v>981</v>
      </c>
      <c r="J413">
        <v>15696</v>
      </c>
    </row>
    <row r="414" spans="1:10">
      <c r="A414" s="26">
        <v>45266</v>
      </c>
      <c r="B414" t="s">
        <v>271</v>
      </c>
      <c r="C414" t="s">
        <v>261</v>
      </c>
      <c r="D414" t="s">
        <v>247</v>
      </c>
      <c r="E414" t="s">
        <v>6</v>
      </c>
      <c r="F414" t="s">
        <v>259</v>
      </c>
      <c r="G414" t="s">
        <v>182</v>
      </c>
      <c r="H414">
        <v>14</v>
      </c>
      <c r="I414">
        <v>1049.21</v>
      </c>
      <c r="J414">
        <v>14688.94</v>
      </c>
    </row>
    <row r="415" spans="1:10">
      <c r="A415" t="s">
        <v>428</v>
      </c>
      <c r="B415" t="s">
        <v>280</v>
      </c>
      <c r="C415" t="s">
        <v>236</v>
      </c>
      <c r="D415" t="s">
        <v>237</v>
      </c>
      <c r="E415" t="s">
        <v>8</v>
      </c>
      <c r="F415" t="s">
        <v>233</v>
      </c>
      <c r="G415" t="s">
        <v>234</v>
      </c>
      <c r="H415">
        <v>3</v>
      </c>
      <c r="I415">
        <v>3276.84</v>
      </c>
      <c r="J415">
        <v>9830.52</v>
      </c>
    </row>
    <row r="416" spans="1:10">
      <c r="A416" s="26">
        <v>45207</v>
      </c>
      <c r="B416" t="s">
        <v>248</v>
      </c>
      <c r="C416" t="s">
        <v>249</v>
      </c>
      <c r="D416" t="s">
        <v>232</v>
      </c>
      <c r="E416" t="s">
        <v>6</v>
      </c>
      <c r="F416" t="s">
        <v>259</v>
      </c>
      <c r="G416" t="s">
        <v>179</v>
      </c>
      <c r="H416">
        <v>10</v>
      </c>
      <c r="I416">
        <v>1693.46</v>
      </c>
      <c r="J416">
        <v>16934.599999999999</v>
      </c>
    </row>
    <row r="417" spans="1:10">
      <c r="A417" t="s">
        <v>369</v>
      </c>
      <c r="B417" t="s">
        <v>271</v>
      </c>
      <c r="C417" t="s">
        <v>313</v>
      </c>
      <c r="D417" t="s">
        <v>252</v>
      </c>
      <c r="E417" t="s">
        <v>5</v>
      </c>
      <c r="F417" t="s">
        <v>238</v>
      </c>
      <c r="G417" t="s">
        <v>296</v>
      </c>
      <c r="H417">
        <v>15</v>
      </c>
      <c r="I417">
        <v>1790.58</v>
      </c>
      <c r="J417">
        <v>26858.7</v>
      </c>
    </row>
    <row r="418" spans="1:10">
      <c r="A418" t="s">
        <v>357</v>
      </c>
      <c r="B418" t="s">
        <v>254</v>
      </c>
      <c r="C418" t="s">
        <v>261</v>
      </c>
      <c r="D418" t="s">
        <v>247</v>
      </c>
      <c r="E418" t="s">
        <v>6</v>
      </c>
      <c r="F418" t="s">
        <v>233</v>
      </c>
      <c r="G418" t="s">
        <v>287</v>
      </c>
      <c r="H418">
        <v>16</v>
      </c>
      <c r="I418">
        <v>1018.83</v>
      </c>
      <c r="J418">
        <v>16301.28</v>
      </c>
    </row>
    <row r="419" spans="1:10">
      <c r="A419" s="26">
        <v>45109</v>
      </c>
      <c r="B419" t="s">
        <v>257</v>
      </c>
      <c r="C419" t="s">
        <v>283</v>
      </c>
      <c r="D419" t="s">
        <v>242</v>
      </c>
      <c r="E419" t="s">
        <v>8</v>
      </c>
      <c r="F419" t="s">
        <v>259</v>
      </c>
      <c r="G419" t="s">
        <v>299</v>
      </c>
      <c r="H419">
        <v>6</v>
      </c>
      <c r="I419">
        <v>1246.5899999999999</v>
      </c>
      <c r="J419">
        <v>7479.54</v>
      </c>
    </row>
    <row r="420" spans="1:10">
      <c r="A420" t="s">
        <v>291</v>
      </c>
      <c r="B420" t="s">
        <v>268</v>
      </c>
      <c r="C420" t="s">
        <v>236</v>
      </c>
      <c r="D420" t="s">
        <v>237</v>
      </c>
      <c r="E420" t="s">
        <v>8</v>
      </c>
      <c r="F420" t="s">
        <v>250</v>
      </c>
      <c r="G420" t="s">
        <v>284</v>
      </c>
      <c r="H420">
        <v>14</v>
      </c>
      <c r="I420">
        <v>859.79</v>
      </c>
      <c r="J420">
        <v>12037.06</v>
      </c>
    </row>
    <row r="421" spans="1:10">
      <c r="A421" s="26">
        <v>45180</v>
      </c>
      <c r="B421" t="s">
        <v>230</v>
      </c>
      <c r="C421" t="s">
        <v>313</v>
      </c>
      <c r="D421" t="s">
        <v>252</v>
      </c>
      <c r="E421" t="s">
        <v>5</v>
      </c>
      <c r="F421" t="s">
        <v>245</v>
      </c>
      <c r="G421" t="s">
        <v>266</v>
      </c>
      <c r="H421">
        <v>12</v>
      </c>
      <c r="I421">
        <v>149.16</v>
      </c>
      <c r="J421">
        <v>1789.92</v>
      </c>
    </row>
    <row r="422" spans="1:10">
      <c r="A422" t="s">
        <v>431</v>
      </c>
      <c r="B422" t="s">
        <v>254</v>
      </c>
      <c r="C422" t="s">
        <v>231</v>
      </c>
      <c r="D422" t="s">
        <v>232</v>
      </c>
      <c r="E422" t="s">
        <v>6</v>
      </c>
      <c r="F422" t="s">
        <v>233</v>
      </c>
      <c r="G422" t="s">
        <v>287</v>
      </c>
      <c r="H422">
        <v>20</v>
      </c>
      <c r="I422">
        <v>1108.83</v>
      </c>
      <c r="J422">
        <v>22176.6</v>
      </c>
    </row>
    <row r="423" spans="1:10">
      <c r="A423" t="s">
        <v>379</v>
      </c>
      <c r="B423" t="s">
        <v>257</v>
      </c>
      <c r="C423" t="s">
        <v>241</v>
      </c>
      <c r="D423" t="s">
        <v>242</v>
      </c>
      <c r="E423" t="s">
        <v>8</v>
      </c>
      <c r="F423" t="s">
        <v>233</v>
      </c>
      <c r="G423" t="s">
        <v>304</v>
      </c>
      <c r="H423">
        <v>8</v>
      </c>
      <c r="I423">
        <v>3628.65</v>
      </c>
      <c r="J423">
        <v>29029.200000000001</v>
      </c>
    </row>
    <row r="424" spans="1:10">
      <c r="A424" t="s">
        <v>253</v>
      </c>
      <c r="B424" t="s">
        <v>230</v>
      </c>
      <c r="C424" t="s">
        <v>261</v>
      </c>
      <c r="D424" t="s">
        <v>247</v>
      </c>
      <c r="E424" t="s">
        <v>6</v>
      </c>
      <c r="F424" t="s">
        <v>245</v>
      </c>
      <c r="G424" t="s">
        <v>266</v>
      </c>
      <c r="H424">
        <v>19</v>
      </c>
      <c r="I424">
        <v>1317.72</v>
      </c>
      <c r="J424">
        <v>25036.68</v>
      </c>
    </row>
    <row r="425" spans="1:10">
      <c r="A425" t="s">
        <v>432</v>
      </c>
      <c r="B425" t="s">
        <v>254</v>
      </c>
      <c r="C425" t="s">
        <v>281</v>
      </c>
      <c r="D425" t="s">
        <v>252</v>
      </c>
      <c r="E425" t="s">
        <v>5</v>
      </c>
      <c r="F425" t="s">
        <v>245</v>
      </c>
      <c r="G425" t="s">
        <v>295</v>
      </c>
      <c r="H425">
        <v>16</v>
      </c>
      <c r="I425">
        <v>2995.01</v>
      </c>
      <c r="J425">
        <v>47920.160000000003</v>
      </c>
    </row>
    <row r="426" spans="1:10">
      <c r="A426" t="s">
        <v>410</v>
      </c>
      <c r="B426" t="s">
        <v>257</v>
      </c>
      <c r="C426" t="s">
        <v>274</v>
      </c>
      <c r="D426" t="s">
        <v>232</v>
      </c>
      <c r="E426" t="s">
        <v>6</v>
      </c>
      <c r="F426" t="s">
        <v>233</v>
      </c>
      <c r="G426" t="s">
        <v>304</v>
      </c>
      <c r="H426">
        <v>11</v>
      </c>
      <c r="I426">
        <v>2318.96</v>
      </c>
      <c r="J426">
        <v>25508.560000000001</v>
      </c>
    </row>
    <row r="427" spans="1:10">
      <c r="A427" t="s">
        <v>294</v>
      </c>
      <c r="B427" t="s">
        <v>240</v>
      </c>
      <c r="C427" t="s">
        <v>258</v>
      </c>
      <c r="D427" t="s">
        <v>242</v>
      </c>
      <c r="E427" t="s">
        <v>8</v>
      </c>
      <c r="F427" t="s">
        <v>250</v>
      </c>
      <c r="G427" t="s">
        <v>284</v>
      </c>
      <c r="H427">
        <v>14</v>
      </c>
      <c r="I427">
        <v>4935.3</v>
      </c>
      <c r="J427">
        <v>69094.2</v>
      </c>
    </row>
    <row r="428" spans="1:10">
      <c r="A428" t="s">
        <v>433</v>
      </c>
      <c r="B428" t="s">
        <v>271</v>
      </c>
      <c r="C428" t="s">
        <v>283</v>
      </c>
      <c r="D428" t="s">
        <v>242</v>
      </c>
      <c r="E428" t="s">
        <v>8</v>
      </c>
      <c r="F428" t="s">
        <v>233</v>
      </c>
      <c r="G428" t="s">
        <v>287</v>
      </c>
      <c r="H428">
        <v>1</v>
      </c>
      <c r="I428">
        <v>1083.26</v>
      </c>
      <c r="J428">
        <v>1083.26</v>
      </c>
    </row>
    <row r="429" spans="1:10">
      <c r="A429" s="26">
        <v>45056</v>
      </c>
      <c r="B429" t="s">
        <v>268</v>
      </c>
      <c r="C429" t="s">
        <v>244</v>
      </c>
      <c r="D429" t="s">
        <v>237</v>
      </c>
      <c r="E429" t="s">
        <v>8</v>
      </c>
      <c r="F429" t="s">
        <v>233</v>
      </c>
      <c r="G429" t="s">
        <v>287</v>
      </c>
      <c r="H429">
        <v>11</v>
      </c>
      <c r="I429">
        <v>1673.53</v>
      </c>
      <c r="J429">
        <v>18408.830000000002</v>
      </c>
    </row>
    <row r="430" spans="1:10">
      <c r="A430" t="s">
        <v>383</v>
      </c>
      <c r="B430" t="s">
        <v>248</v>
      </c>
      <c r="C430" t="s">
        <v>261</v>
      </c>
      <c r="D430" t="s">
        <v>247</v>
      </c>
      <c r="E430" t="s">
        <v>6</v>
      </c>
      <c r="F430" t="s">
        <v>259</v>
      </c>
      <c r="G430" t="s">
        <v>298</v>
      </c>
      <c r="H430">
        <v>10</v>
      </c>
      <c r="I430">
        <v>3829.38</v>
      </c>
      <c r="J430">
        <v>38293.800000000003</v>
      </c>
    </row>
    <row r="431" spans="1:10">
      <c r="A431" t="s">
        <v>309</v>
      </c>
      <c r="B431" t="s">
        <v>268</v>
      </c>
      <c r="C431" t="s">
        <v>241</v>
      </c>
      <c r="D431" t="s">
        <v>242</v>
      </c>
      <c r="E431" t="s">
        <v>8</v>
      </c>
      <c r="F431" t="s">
        <v>245</v>
      </c>
      <c r="G431" t="s">
        <v>246</v>
      </c>
      <c r="H431">
        <v>6</v>
      </c>
      <c r="I431">
        <v>470.36</v>
      </c>
      <c r="J431">
        <v>2822.16</v>
      </c>
    </row>
    <row r="432" spans="1:10">
      <c r="A432" t="s">
        <v>354</v>
      </c>
      <c r="B432" t="s">
        <v>280</v>
      </c>
      <c r="C432" t="s">
        <v>274</v>
      </c>
      <c r="D432" t="s">
        <v>232</v>
      </c>
      <c r="E432" t="s">
        <v>6</v>
      </c>
      <c r="F432" t="s">
        <v>259</v>
      </c>
      <c r="G432" t="s">
        <v>298</v>
      </c>
      <c r="H432">
        <v>12</v>
      </c>
      <c r="I432">
        <v>2489.14</v>
      </c>
      <c r="J432">
        <v>29869.68</v>
      </c>
    </row>
    <row r="433" spans="1:10">
      <c r="A433" t="s">
        <v>380</v>
      </c>
      <c r="B433" t="s">
        <v>268</v>
      </c>
      <c r="C433" t="s">
        <v>241</v>
      </c>
      <c r="D433" t="s">
        <v>242</v>
      </c>
      <c r="E433" t="s">
        <v>8</v>
      </c>
      <c r="F433" t="s">
        <v>245</v>
      </c>
      <c r="G433" t="s">
        <v>295</v>
      </c>
      <c r="H433">
        <v>14</v>
      </c>
      <c r="I433">
        <v>1729.16</v>
      </c>
      <c r="J433">
        <v>24208.240000000002</v>
      </c>
    </row>
    <row r="434" spans="1:10">
      <c r="A434" t="s">
        <v>434</v>
      </c>
      <c r="B434" t="s">
        <v>230</v>
      </c>
      <c r="C434" t="s">
        <v>255</v>
      </c>
      <c r="D434" t="s">
        <v>237</v>
      </c>
      <c r="E434" t="s">
        <v>8</v>
      </c>
      <c r="F434" t="s">
        <v>238</v>
      </c>
      <c r="G434" t="s">
        <v>296</v>
      </c>
      <c r="H434">
        <v>2</v>
      </c>
      <c r="I434">
        <v>2789.92</v>
      </c>
      <c r="J434">
        <v>5579.84</v>
      </c>
    </row>
    <row r="435" spans="1:10">
      <c r="A435" t="s">
        <v>318</v>
      </c>
      <c r="B435" t="s">
        <v>260</v>
      </c>
      <c r="C435" t="s">
        <v>258</v>
      </c>
      <c r="D435" t="s">
        <v>242</v>
      </c>
      <c r="E435" t="s">
        <v>8</v>
      </c>
      <c r="F435" t="s">
        <v>245</v>
      </c>
      <c r="G435" t="s">
        <v>246</v>
      </c>
      <c r="H435">
        <v>17</v>
      </c>
      <c r="I435">
        <v>3244.79</v>
      </c>
      <c r="J435">
        <v>55161.43</v>
      </c>
    </row>
    <row r="436" spans="1:10">
      <c r="A436" t="s">
        <v>359</v>
      </c>
      <c r="B436" t="s">
        <v>240</v>
      </c>
      <c r="C436" t="s">
        <v>283</v>
      </c>
      <c r="D436" t="s">
        <v>242</v>
      </c>
      <c r="E436" t="s">
        <v>8</v>
      </c>
      <c r="F436" t="s">
        <v>238</v>
      </c>
      <c r="G436" t="s">
        <v>239</v>
      </c>
      <c r="H436">
        <v>20</v>
      </c>
      <c r="I436">
        <v>2155.17</v>
      </c>
      <c r="J436">
        <v>43103.4</v>
      </c>
    </row>
    <row r="437" spans="1:10">
      <c r="A437" s="26">
        <v>45145</v>
      </c>
      <c r="B437" t="s">
        <v>271</v>
      </c>
      <c r="C437" t="s">
        <v>236</v>
      </c>
      <c r="D437" t="s">
        <v>237</v>
      </c>
      <c r="E437" t="s">
        <v>8</v>
      </c>
      <c r="F437" t="s">
        <v>250</v>
      </c>
      <c r="G437" t="s">
        <v>284</v>
      </c>
      <c r="H437">
        <v>13</v>
      </c>
      <c r="I437">
        <v>2526.1999999999998</v>
      </c>
      <c r="J437">
        <v>32840.6</v>
      </c>
    </row>
    <row r="438" spans="1:10">
      <c r="A438" t="s">
        <v>297</v>
      </c>
      <c r="B438" t="s">
        <v>260</v>
      </c>
      <c r="C438" t="s">
        <v>244</v>
      </c>
      <c r="D438" t="s">
        <v>237</v>
      </c>
      <c r="E438" t="s">
        <v>8</v>
      </c>
      <c r="F438" t="s">
        <v>259</v>
      </c>
      <c r="G438" t="s">
        <v>182</v>
      </c>
      <c r="H438">
        <v>11</v>
      </c>
      <c r="I438">
        <v>1995.21</v>
      </c>
      <c r="J438">
        <v>21947.31</v>
      </c>
    </row>
    <row r="439" spans="1:10">
      <c r="A439" s="26">
        <v>45232</v>
      </c>
      <c r="B439" t="s">
        <v>271</v>
      </c>
      <c r="C439" t="s">
        <v>261</v>
      </c>
      <c r="D439" t="s">
        <v>247</v>
      </c>
      <c r="E439" t="s">
        <v>6</v>
      </c>
      <c r="F439" t="s">
        <v>238</v>
      </c>
      <c r="G439" t="s">
        <v>239</v>
      </c>
      <c r="H439">
        <v>4</v>
      </c>
      <c r="I439">
        <v>1139.74</v>
      </c>
      <c r="J439">
        <v>4558.96</v>
      </c>
    </row>
    <row r="440" spans="1:10">
      <c r="A440" t="s">
        <v>391</v>
      </c>
      <c r="B440" t="s">
        <v>280</v>
      </c>
      <c r="C440" t="s">
        <v>281</v>
      </c>
      <c r="D440" t="s">
        <v>252</v>
      </c>
      <c r="E440" t="s">
        <v>5</v>
      </c>
      <c r="F440" t="s">
        <v>233</v>
      </c>
      <c r="G440" t="s">
        <v>301</v>
      </c>
      <c r="H440">
        <v>4</v>
      </c>
      <c r="I440">
        <v>3015.93</v>
      </c>
      <c r="J440">
        <v>12063.72</v>
      </c>
    </row>
    <row r="441" spans="1:10">
      <c r="A441" s="26">
        <v>45203</v>
      </c>
      <c r="B441" t="s">
        <v>271</v>
      </c>
      <c r="C441" t="s">
        <v>255</v>
      </c>
      <c r="D441" t="s">
        <v>237</v>
      </c>
      <c r="E441" t="s">
        <v>8</v>
      </c>
      <c r="F441" t="s">
        <v>245</v>
      </c>
      <c r="G441" t="s">
        <v>266</v>
      </c>
      <c r="H441">
        <v>4</v>
      </c>
      <c r="I441">
        <v>3831.39</v>
      </c>
      <c r="J441">
        <v>15325.56</v>
      </c>
    </row>
    <row r="442" spans="1:10">
      <c r="A442" t="s">
        <v>343</v>
      </c>
      <c r="B442" t="s">
        <v>230</v>
      </c>
      <c r="C442" t="s">
        <v>249</v>
      </c>
      <c r="D442" t="s">
        <v>232</v>
      </c>
      <c r="E442" t="s">
        <v>6</v>
      </c>
      <c r="F442" t="s">
        <v>245</v>
      </c>
      <c r="G442" t="s">
        <v>246</v>
      </c>
      <c r="H442">
        <v>7</v>
      </c>
      <c r="I442">
        <v>105.05</v>
      </c>
      <c r="J442">
        <v>735.35</v>
      </c>
    </row>
    <row r="443" spans="1:10">
      <c r="A443" s="26">
        <v>44992</v>
      </c>
      <c r="B443" t="s">
        <v>235</v>
      </c>
      <c r="C443" t="s">
        <v>261</v>
      </c>
      <c r="D443" t="s">
        <v>247</v>
      </c>
      <c r="E443" t="s">
        <v>6</v>
      </c>
      <c r="F443" t="s">
        <v>238</v>
      </c>
      <c r="G443" t="s">
        <v>296</v>
      </c>
      <c r="H443">
        <v>11</v>
      </c>
      <c r="I443">
        <v>2416.1799999999998</v>
      </c>
      <c r="J443">
        <v>26577.98</v>
      </c>
    </row>
    <row r="444" spans="1:10">
      <c r="A444" t="s">
        <v>435</v>
      </c>
      <c r="B444" t="s">
        <v>257</v>
      </c>
      <c r="C444" t="s">
        <v>261</v>
      </c>
      <c r="D444" t="s">
        <v>247</v>
      </c>
      <c r="E444" t="s">
        <v>6</v>
      </c>
      <c r="F444" t="s">
        <v>238</v>
      </c>
      <c r="G444" t="s">
        <v>296</v>
      </c>
      <c r="H444">
        <v>1</v>
      </c>
      <c r="I444">
        <v>549.14</v>
      </c>
      <c r="J444">
        <v>549.14</v>
      </c>
    </row>
    <row r="445" spans="1:10">
      <c r="A445" t="s">
        <v>361</v>
      </c>
      <c r="B445" t="s">
        <v>257</v>
      </c>
      <c r="C445" t="s">
        <v>244</v>
      </c>
      <c r="D445" t="s">
        <v>237</v>
      </c>
      <c r="E445" t="s">
        <v>8</v>
      </c>
      <c r="F445" t="s">
        <v>250</v>
      </c>
      <c r="G445" t="s">
        <v>251</v>
      </c>
      <c r="H445">
        <v>10</v>
      </c>
      <c r="I445">
        <v>3771.5</v>
      </c>
      <c r="J445">
        <v>37715</v>
      </c>
    </row>
    <row r="446" spans="1:10">
      <c r="A446" t="s">
        <v>431</v>
      </c>
      <c r="B446" t="s">
        <v>235</v>
      </c>
      <c r="C446" t="s">
        <v>261</v>
      </c>
      <c r="D446" t="s">
        <v>247</v>
      </c>
      <c r="E446" t="s">
        <v>6</v>
      </c>
      <c r="F446" t="s">
        <v>233</v>
      </c>
      <c r="G446" t="s">
        <v>301</v>
      </c>
      <c r="H446">
        <v>13</v>
      </c>
      <c r="I446">
        <v>956.49</v>
      </c>
      <c r="J446">
        <v>12434.37</v>
      </c>
    </row>
    <row r="447" spans="1:10">
      <c r="A447" t="s">
        <v>345</v>
      </c>
      <c r="B447" t="s">
        <v>240</v>
      </c>
      <c r="C447" t="s">
        <v>241</v>
      </c>
      <c r="D447" t="s">
        <v>242</v>
      </c>
      <c r="E447" t="s">
        <v>8</v>
      </c>
      <c r="F447" t="s">
        <v>233</v>
      </c>
      <c r="G447" t="s">
        <v>287</v>
      </c>
      <c r="H447">
        <v>19</v>
      </c>
      <c r="I447">
        <v>3575.92</v>
      </c>
      <c r="J447">
        <v>67942.48</v>
      </c>
    </row>
    <row r="448" spans="1:10">
      <c r="A448" t="s">
        <v>323</v>
      </c>
      <c r="B448" t="s">
        <v>271</v>
      </c>
      <c r="C448" t="s">
        <v>276</v>
      </c>
      <c r="D448" t="s">
        <v>247</v>
      </c>
      <c r="E448" t="s">
        <v>6</v>
      </c>
      <c r="F448" t="s">
        <v>259</v>
      </c>
      <c r="G448" t="s">
        <v>298</v>
      </c>
      <c r="H448">
        <v>8</v>
      </c>
      <c r="I448">
        <v>3971.12</v>
      </c>
      <c r="J448">
        <v>31768.959999999999</v>
      </c>
    </row>
    <row r="449" spans="1:10">
      <c r="A449" t="s">
        <v>419</v>
      </c>
      <c r="B449" t="s">
        <v>254</v>
      </c>
      <c r="C449" t="s">
        <v>244</v>
      </c>
      <c r="D449" t="s">
        <v>237</v>
      </c>
      <c r="E449" t="s">
        <v>8</v>
      </c>
      <c r="F449" t="s">
        <v>245</v>
      </c>
      <c r="G449" t="s">
        <v>269</v>
      </c>
      <c r="H449">
        <v>14</v>
      </c>
      <c r="I449">
        <v>3631.62</v>
      </c>
      <c r="J449">
        <v>50842.68</v>
      </c>
    </row>
    <row r="450" spans="1:10">
      <c r="A450" s="26">
        <v>44931</v>
      </c>
      <c r="B450" t="s">
        <v>268</v>
      </c>
      <c r="C450" t="s">
        <v>231</v>
      </c>
      <c r="D450" t="s">
        <v>232</v>
      </c>
      <c r="E450" t="s">
        <v>6</v>
      </c>
      <c r="F450" t="s">
        <v>233</v>
      </c>
      <c r="G450" t="s">
        <v>287</v>
      </c>
      <c r="H450">
        <v>18</v>
      </c>
      <c r="I450">
        <v>2589.64</v>
      </c>
      <c r="J450">
        <v>46613.52</v>
      </c>
    </row>
    <row r="451" spans="1:10">
      <c r="A451" s="26">
        <v>45025</v>
      </c>
      <c r="B451" t="s">
        <v>254</v>
      </c>
      <c r="C451" t="s">
        <v>276</v>
      </c>
      <c r="D451" t="s">
        <v>247</v>
      </c>
      <c r="E451" t="s">
        <v>6</v>
      </c>
      <c r="F451" t="s">
        <v>250</v>
      </c>
      <c r="G451" t="s">
        <v>284</v>
      </c>
      <c r="H451">
        <v>2</v>
      </c>
      <c r="I451">
        <v>2713.34</v>
      </c>
      <c r="J451">
        <v>5426.68</v>
      </c>
    </row>
    <row r="452" spans="1:10">
      <c r="A452" t="s">
        <v>331</v>
      </c>
      <c r="B452" t="s">
        <v>257</v>
      </c>
      <c r="C452" t="s">
        <v>241</v>
      </c>
      <c r="D452" t="s">
        <v>242</v>
      </c>
      <c r="E452" t="s">
        <v>8</v>
      </c>
      <c r="F452" t="s">
        <v>238</v>
      </c>
      <c r="G452" t="s">
        <v>239</v>
      </c>
      <c r="H452">
        <v>17</v>
      </c>
      <c r="I452">
        <v>1294.56</v>
      </c>
      <c r="J452">
        <v>22007.52</v>
      </c>
    </row>
    <row r="453" spans="1:10">
      <c r="A453" t="s">
        <v>325</v>
      </c>
      <c r="B453" t="s">
        <v>254</v>
      </c>
      <c r="C453" t="s">
        <v>313</v>
      </c>
      <c r="D453" t="s">
        <v>252</v>
      </c>
      <c r="E453" t="s">
        <v>5</v>
      </c>
      <c r="F453" t="s">
        <v>238</v>
      </c>
      <c r="G453" t="s">
        <v>239</v>
      </c>
      <c r="H453">
        <v>8</v>
      </c>
      <c r="I453">
        <v>1171.53</v>
      </c>
      <c r="J453">
        <v>9372.24</v>
      </c>
    </row>
    <row r="454" spans="1:10">
      <c r="A454" t="s">
        <v>376</v>
      </c>
      <c r="B454" t="s">
        <v>268</v>
      </c>
      <c r="C454" t="s">
        <v>273</v>
      </c>
      <c r="D454" t="s">
        <v>252</v>
      </c>
      <c r="E454" t="s">
        <v>5</v>
      </c>
      <c r="F454" t="s">
        <v>245</v>
      </c>
      <c r="G454" t="s">
        <v>295</v>
      </c>
      <c r="H454">
        <v>15</v>
      </c>
      <c r="I454">
        <v>4060.63</v>
      </c>
      <c r="J454">
        <v>60909.45</v>
      </c>
    </row>
    <row r="455" spans="1:10">
      <c r="A455" s="26">
        <v>45264</v>
      </c>
      <c r="B455" t="s">
        <v>257</v>
      </c>
      <c r="C455" t="s">
        <v>231</v>
      </c>
      <c r="D455" t="s">
        <v>232</v>
      </c>
      <c r="E455" t="s">
        <v>6</v>
      </c>
      <c r="F455" t="s">
        <v>250</v>
      </c>
      <c r="G455" t="s">
        <v>251</v>
      </c>
      <c r="H455">
        <v>4</v>
      </c>
      <c r="I455">
        <v>442.23</v>
      </c>
      <c r="J455">
        <v>1768.92</v>
      </c>
    </row>
    <row r="456" spans="1:10">
      <c r="A456" t="s">
        <v>294</v>
      </c>
      <c r="B456" t="s">
        <v>268</v>
      </c>
      <c r="C456" t="s">
        <v>231</v>
      </c>
      <c r="D456" t="s">
        <v>232</v>
      </c>
      <c r="E456" t="s">
        <v>6</v>
      </c>
      <c r="F456" t="s">
        <v>238</v>
      </c>
      <c r="G456" t="s">
        <v>256</v>
      </c>
      <c r="H456">
        <v>5</v>
      </c>
      <c r="I456">
        <v>3725.36</v>
      </c>
      <c r="J456">
        <v>18626.8</v>
      </c>
    </row>
    <row r="457" spans="1:10">
      <c r="A457" t="s">
        <v>432</v>
      </c>
      <c r="B457" t="s">
        <v>268</v>
      </c>
      <c r="C457" t="s">
        <v>261</v>
      </c>
      <c r="D457" t="s">
        <v>247</v>
      </c>
      <c r="E457" t="s">
        <v>6</v>
      </c>
      <c r="F457" t="s">
        <v>245</v>
      </c>
      <c r="G457" t="s">
        <v>246</v>
      </c>
      <c r="H457">
        <v>20</v>
      </c>
      <c r="I457">
        <v>2974.89</v>
      </c>
      <c r="J457">
        <v>59497.8</v>
      </c>
    </row>
    <row r="458" spans="1:10">
      <c r="A458" s="26">
        <v>44992</v>
      </c>
      <c r="B458" t="s">
        <v>268</v>
      </c>
      <c r="C458" t="s">
        <v>244</v>
      </c>
      <c r="D458" t="s">
        <v>237</v>
      </c>
      <c r="E458" t="s">
        <v>8</v>
      </c>
      <c r="F458" t="s">
        <v>245</v>
      </c>
      <c r="G458" t="s">
        <v>295</v>
      </c>
      <c r="H458">
        <v>1</v>
      </c>
      <c r="I458">
        <v>1717.6</v>
      </c>
      <c r="J458">
        <v>1717.6</v>
      </c>
    </row>
    <row r="459" spans="1:10">
      <c r="A459" s="26">
        <v>45080</v>
      </c>
      <c r="B459" t="s">
        <v>260</v>
      </c>
      <c r="C459" t="s">
        <v>313</v>
      </c>
      <c r="D459" t="s">
        <v>252</v>
      </c>
      <c r="E459" t="s">
        <v>5</v>
      </c>
      <c r="F459" t="s">
        <v>233</v>
      </c>
      <c r="G459" t="s">
        <v>304</v>
      </c>
      <c r="H459">
        <v>5</v>
      </c>
      <c r="I459">
        <v>2849.56</v>
      </c>
      <c r="J459">
        <v>14247.8</v>
      </c>
    </row>
    <row r="460" spans="1:10">
      <c r="A460" t="s">
        <v>309</v>
      </c>
      <c r="B460" t="s">
        <v>230</v>
      </c>
      <c r="C460" t="s">
        <v>276</v>
      </c>
      <c r="D460" t="s">
        <v>247</v>
      </c>
      <c r="E460" t="s">
        <v>6</v>
      </c>
      <c r="F460" t="s">
        <v>238</v>
      </c>
      <c r="G460" t="s">
        <v>239</v>
      </c>
      <c r="H460">
        <v>18</v>
      </c>
      <c r="I460">
        <v>4150.7700000000004</v>
      </c>
      <c r="J460">
        <v>74713.86</v>
      </c>
    </row>
    <row r="461" spans="1:10">
      <c r="A461" t="s">
        <v>436</v>
      </c>
      <c r="B461" t="s">
        <v>260</v>
      </c>
      <c r="C461" t="s">
        <v>274</v>
      </c>
      <c r="D461" t="s">
        <v>232</v>
      </c>
      <c r="E461" t="s">
        <v>6</v>
      </c>
      <c r="F461" t="s">
        <v>238</v>
      </c>
      <c r="G461" t="s">
        <v>303</v>
      </c>
      <c r="H461">
        <v>18</v>
      </c>
      <c r="I461">
        <v>2490.14</v>
      </c>
      <c r="J461">
        <v>44822.52</v>
      </c>
    </row>
    <row r="462" spans="1:10">
      <c r="A462" t="s">
        <v>358</v>
      </c>
      <c r="B462" t="s">
        <v>260</v>
      </c>
      <c r="C462" t="s">
        <v>281</v>
      </c>
      <c r="D462" t="s">
        <v>252</v>
      </c>
      <c r="E462" t="s">
        <v>5</v>
      </c>
      <c r="F462" t="s">
        <v>238</v>
      </c>
      <c r="G462" t="s">
        <v>239</v>
      </c>
      <c r="H462">
        <v>17</v>
      </c>
      <c r="I462">
        <v>500.54</v>
      </c>
      <c r="J462">
        <v>8509.18</v>
      </c>
    </row>
    <row r="463" spans="1:10">
      <c r="A463" t="s">
        <v>437</v>
      </c>
      <c r="B463" t="s">
        <v>280</v>
      </c>
      <c r="C463" t="s">
        <v>273</v>
      </c>
      <c r="D463" t="s">
        <v>252</v>
      </c>
      <c r="E463" t="s">
        <v>5</v>
      </c>
      <c r="F463" t="s">
        <v>259</v>
      </c>
      <c r="G463" t="s">
        <v>298</v>
      </c>
      <c r="H463">
        <v>19</v>
      </c>
      <c r="I463">
        <v>1067.94</v>
      </c>
      <c r="J463">
        <v>20290.86</v>
      </c>
    </row>
    <row r="464" spans="1:10">
      <c r="A464" t="s">
        <v>342</v>
      </c>
      <c r="B464" t="s">
        <v>280</v>
      </c>
      <c r="C464" t="s">
        <v>283</v>
      </c>
      <c r="D464" t="s">
        <v>242</v>
      </c>
      <c r="E464" t="s">
        <v>8</v>
      </c>
      <c r="F464" t="s">
        <v>250</v>
      </c>
      <c r="G464" t="s">
        <v>284</v>
      </c>
      <c r="H464">
        <v>7</v>
      </c>
      <c r="I464">
        <v>2264.87</v>
      </c>
      <c r="J464">
        <v>15854.09</v>
      </c>
    </row>
    <row r="465" spans="1:10">
      <c r="A465" s="26">
        <v>45262</v>
      </c>
      <c r="B465" t="s">
        <v>235</v>
      </c>
      <c r="C465" t="s">
        <v>281</v>
      </c>
      <c r="D465" t="s">
        <v>252</v>
      </c>
      <c r="E465" t="s">
        <v>5</v>
      </c>
      <c r="F465" t="s">
        <v>250</v>
      </c>
      <c r="G465" t="s">
        <v>277</v>
      </c>
      <c r="H465">
        <v>18</v>
      </c>
      <c r="I465">
        <v>2584.0700000000002</v>
      </c>
      <c r="J465">
        <v>46513.26</v>
      </c>
    </row>
    <row r="466" spans="1:10">
      <c r="A466" t="s">
        <v>437</v>
      </c>
      <c r="B466" t="s">
        <v>280</v>
      </c>
      <c r="C466" t="s">
        <v>241</v>
      </c>
      <c r="D466" t="s">
        <v>242</v>
      </c>
      <c r="E466" t="s">
        <v>8</v>
      </c>
      <c r="F466" t="s">
        <v>238</v>
      </c>
      <c r="G466" t="s">
        <v>296</v>
      </c>
      <c r="H466">
        <v>13</v>
      </c>
      <c r="I466">
        <v>4621.13</v>
      </c>
      <c r="J466">
        <v>60074.69</v>
      </c>
    </row>
    <row r="467" spans="1:10">
      <c r="A467" s="26">
        <v>45269</v>
      </c>
      <c r="B467" t="s">
        <v>235</v>
      </c>
      <c r="C467" t="s">
        <v>281</v>
      </c>
      <c r="D467" t="s">
        <v>252</v>
      </c>
      <c r="E467" t="s">
        <v>5</v>
      </c>
      <c r="F467" t="s">
        <v>250</v>
      </c>
      <c r="G467" t="s">
        <v>251</v>
      </c>
      <c r="H467">
        <v>16</v>
      </c>
      <c r="I467">
        <v>4826.2</v>
      </c>
      <c r="J467">
        <v>77219.199999999997</v>
      </c>
    </row>
    <row r="468" spans="1:10">
      <c r="A468" s="26">
        <v>45052</v>
      </c>
      <c r="B468" t="s">
        <v>254</v>
      </c>
      <c r="C468" t="s">
        <v>258</v>
      </c>
      <c r="D468" t="s">
        <v>242</v>
      </c>
      <c r="E468" t="s">
        <v>8</v>
      </c>
      <c r="F468" t="s">
        <v>259</v>
      </c>
      <c r="G468" t="s">
        <v>182</v>
      </c>
      <c r="H468">
        <v>5</v>
      </c>
      <c r="I468">
        <v>4773.5600000000004</v>
      </c>
      <c r="J468">
        <v>23867.8</v>
      </c>
    </row>
    <row r="469" spans="1:10">
      <c r="A469" t="s">
        <v>340</v>
      </c>
      <c r="B469" t="s">
        <v>280</v>
      </c>
      <c r="C469" t="s">
        <v>244</v>
      </c>
      <c r="D469" t="s">
        <v>237</v>
      </c>
      <c r="E469" t="s">
        <v>8</v>
      </c>
      <c r="F469" t="s">
        <v>250</v>
      </c>
      <c r="G469" t="s">
        <v>284</v>
      </c>
      <c r="H469">
        <v>9</v>
      </c>
      <c r="I469">
        <v>3220.44</v>
      </c>
      <c r="J469">
        <v>28983.96</v>
      </c>
    </row>
    <row r="470" spans="1:10">
      <c r="A470" t="s">
        <v>405</v>
      </c>
      <c r="B470" t="s">
        <v>280</v>
      </c>
      <c r="C470" t="s">
        <v>255</v>
      </c>
      <c r="D470" t="s">
        <v>237</v>
      </c>
      <c r="E470" t="s">
        <v>8</v>
      </c>
      <c r="F470" t="s">
        <v>250</v>
      </c>
      <c r="G470" t="s">
        <v>277</v>
      </c>
      <c r="H470">
        <v>15</v>
      </c>
      <c r="I470">
        <v>4945.79</v>
      </c>
      <c r="J470">
        <v>74186.850000000006</v>
      </c>
    </row>
    <row r="471" spans="1:10">
      <c r="A471" s="26">
        <v>45140</v>
      </c>
      <c r="B471" t="s">
        <v>248</v>
      </c>
      <c r="C471" t="s">
        <v>236</v>
      </c>
      <c r="D471" t="s">
        <v>237</v>
      </c>
      <c r="E471" t="s">
        <v>8</v>
      </c>
      <c r="F471" t="s">
        <v>245</v>
      </c>
      <c r="G471" t="s">
        <v>295</v>
      </c>
      <c r="H471">
        <v>14</v>
      </c>
      <c r="I471">
        <v>2355.56</v>
      </c>
      <c r="J471">
        <v>32977.839999999997</v>
      </c>
    </row>
    <row r="472" spans="1:10">
      <c r="A472" t="s">
        <v>288</v>
      </c>
      <c r="B472" t="s">
        <v>235</v>
      </c>
      <c r="C472" t="s">
        <v>261</v>
      </c>
      <c r="D472" t="s">
        <v>247</v>
      </c>
      <c r="E472" t="s">
        <v>6</v>
      </c>
      <c r="F472" t="s">
        <v>245</v>
      </c>
      <c r="G472" t="s">
        <v>266</v>
      </c>
      <c r="H472">
        <v>4</v>
      </c>
      <c r="I472">
        <v>4412.41</v>
      </c>
      <c r="J472">
        <v>17649.64</v>
      </c>
    </row>
    <row r="473" spans="1:10">
      <c r="A473" t="s">
        <v>356</v>
      </c>
      <c r="B473" t="s">
        <v>268</v>
      </c>
      <c r="C473" t="s">
        <v>273</v>
      </c>
      <c r="D473" t="s">
        <v>252</v>
      </c>
      <c r="E473" t="s">
        <v>5</v>
      </c>
      <c r="F473" t="s">
        <v>238</v>
      </c>
      <c r="G473" t="s">
        <v>296</v>
      </c>
      <c r="H473">
        <v>5</v>
      </c>
      <c r="I473">
        <v>355.6</v>
      </c>
      <c r="J473">
        <v>1778</v>
      </c>
    </row>
    <row r="474" spans="1:10">
      <c r="A474" t="s">
        <v>396</v>
      </c>
      <c r="B474" t="s">
        <v>248</v>
      </c>
      <c r="C474" t="s">
        <v>231</v>
      </c>
      <c r="D474" t="s">
        <v>232</v>
      </c>
      <c r="E474" t="s">
        <v>6</v>
      </c>
      <c r="F474" t="s">
        <v>259</v>
      </c>
      <c r="G474" t="s">
        <v>179</v>
      </c>
      <c r="H474">
        <v>12</v>
      </c>
      <c r="I474">
        <v>4405.1899999999996</v>
      </c>
      <c r="J474">
        <v>52862.28</v>
      </c>
    </row>
    <row r="475" spans="1:10">
      <c r="A475" t="s">
        <v>438</v>
      </c>
      <c r="B475" t="s">
        <v>235</v>
      </c>
      <c r="C475" t="s">
        <v>313</v>
      </c>
      <c r="D475" t="s">
        <v>252</v>
      </c>
      <c r="E475" t="s">
        <v>5</v>
      </c>
      <c r="F475" t="s">
        <v>250</v>
      </c>
      <c r="G475" t="s">
        <v>277</v>
      </c>
      <c r="H475">
        <v>9</v>
      </c>
      <c r="I475">
        <v>877.89</v>
      </c>
      <c r="J475">
        <v>7901.01</v>
      </c>
    </row>
    <row r="476" spans="1:10">
      <c r="A476" t="s">
        <v>439</v>
      </c>
      <c r="B476" t="s">
        <v>235</v>
      </c>
      <c r="C476" t="s">
        <v>316</v>
      </c>
      <c r="D476" t="s">
        <v>247</v>
      </c>
      <c r="E476" t="s">
        <v>6</v>
      </c>
      <c r="F476" t="s">
        <v>245</v>
      </c>
      <c r="G476" t="s">
        <v>266</v>
      </c>
      <c r="H476">
        <v>1</v>
      </c>
      <c r="I476">
        <v>2970.66</v>
      </c>
      <c r="J476">
        <v>2970.66</v>
      </c>
    </row>
    <row r="477" spans="1:10">
      <c r="A477" t="s">
        <v>432</v>
      </c>
      <c r="B477" t="s">
        <v>260</v>
      </c>
      <c r="C477" t="s">
        <v>231</v>
      </c>
      <c r="D477" t="s">
        <v>232</v>
      </c>
      <c r="E477" t="s">
        <v>6</v>
      </c>
      <c r="F477" t="s">
        <v>233</v>
      </c>
      <c r="G477" t="s">
        <v>301</v>
      </c>
      <c r="H477">
        <v>15</v>
      </c>
      <c r="I477">
        <v>3579.98</v>
      </c>
      <c r="J477">
        <v>53699.7</v>
      </c>
    </row>
    <row r="478" spans="1:10">
      <c r="A478" s="26">
        <v>45056</v>
      </c>
      <c r="B478" t="s">
        <v>280</v>
      </c>
      <c r="C478" t="s">
        <v>316</v>
      </c>
      <c r="D478" t="s">
        <v>247</v>
      </c>
      <c r="E478" t="s">
        <v>6</v>
      </c>
      <c r="F478" t="s">
        <v>259</v>
      </c>
      <c r="G478" t="s">
        <v>182</v>
      </c>
      <c r="H478">
        <v>9</v>
      </c>
      <c r="I478">
        <v>1605.02</v>
      </c>
      <c r="J478">
        <v>14445.18</v>
      </c>
    </row>
    <row r="479" spans="1:10">
      <c r="A479" t="s">
        <v>355</v>
      </c>
      <c r="B479" t="s">
        <v>230</v>
      </c>
      <c r="C479" t="s">
        <v>255</v>
      </c>
      <c r="D479" t="s">
        <v>237</v>
      </c>
      <c r="E479" t="s">
        <v>8</v>
      </c>
      <c r="F479" t="s">
        <v>259</v>
      </c>
      <c r="G479" t="s">
        <v>179</v>
      </c>
      <c r="H479">
        <v>12</v>
      </c>
      <c r="I479">
        <v>1982.64</v>
      </c>
      <c r="J479">
        <v>23791.68</v>
      </c>
    </row>
    <row r="480" spans="1:10">
      <c r="A480" t="s">
        <v>440</v>
      </c>
      <c r="B480" t="s">
        <v>271</v>
      </c>
      <c r="C480" t="s">
        <v>316</v>
      </c>
      <c r="D480" t="s">
        <v>247</v>
      </c>
      <c r="E480" t="s">
        <v>6</v>
      </c>
      <c r="F480" t="s">
        <v>238</v>
      </c>
      <c r="G480" t="s">
        <v>303</v>
      </c>
      <c r="H480">
        <v>20</v>
      </c>
      <c r="I480">
        <v>3195.53</v>
      </c>
      <c r="J480">
        <v>63910.6</v>
      </c>
    </row>
    <row r="481" spans="1:10">
      <c r="A481" s="26">
        <v>45176</v>
      </c>
      <c r="B481" t="s">
        <v>280</v>
      </c>
      <c r="C481" t="s">
        <v>261</v>
      </c>
      <c r="D481" t="s">
        <v>247</v>
      </c>
      <c r="E481" t="s">
        <v>6</v>
      </c>
      <c r="F481" t="s">
        <v>250</v>
      </c>
      <c r="G481" t="s">
        <v>284</v>
      </c>
      <c r="H481">
        <v>20</v>
      </c>
      <c r="I481">
        <v>1580.59</v>
      </c>
      <c r="J481">
        <v>31611.8</v>
      </c>
    </row>
    <row r="482" spans="1:10">
      <c r="A482" t="s">
        <v>365</v>
      </c>
      <c r="B482" t="s">
        <v>248</v>
      </c>
      <c r="C482" t="s">
        <v>283</v>
      </c>
      <c r="D482" t="s">
        <v>242</v>
      </c>
      <c r="E482" t="s">
        <v>8</v>
      </c>
      <c r="F482" t="s">
        <v>259</v>
      </c>
      <c r="G482" t="s">
        <v>298</v>
      </c>
      <c r="H482">
        <v>6</v>
      </c>
      <c r="I482">
        <v>809.57</v>
      </c>
      <c r="J482">
        <v>4857.42</v>
      </c>
    </row>
    <row r="483" spans="1:10">
      <c r="A483" t="s">
        <v>441</v>
      </c>
      <c r="B483" t="s">
        <v>260</v>
      </c>
      <c r="C483" t="s">
        <v>274</v>
      </c>
      <c r="D483" t="s">
        <v>232</v>
      </c>
      <c r="E483" t="s">
        <v>6</v>
      </c>
      <c r="F483" t="s">
        <v>238</v>
      </c>
      <c r="G483" t="s">
        <v>256</v>
      </c>
      <c r="H483">
        <v>6</v>
      </c>
      <c r="I483">
        <v>1221.52</v>
      </c>
      <c r="J483">
        <v>7329.12</v>
      </c>
    </row>
    <row r="484" spans="1:10">
      <c r="A484" s="26">
        <v>45054</v>
      </c>
      <c r="B484" t="s">
        <v>240</v>
      </c>
      <c r="C484" t="s">
        <v>258</v>
      </c>
      <c r="D484" t="s">
        <v>242</v>
      </c>
      <c r="E484" t="s">
        <v>8</v>
      </c>
      <c r="F484" t="s">
        <v>233</v>
      </c>
      <c r="G484" t="s">
        <v>234</v>
      </c>
      <c r="H484">
        <v>4</v>
      </c>
      <c r="I484">
        <v>2457.5</v>
      </c>
      <c r="J484">
        <v>9830</v>
      </c>
    </row>
    <row r="485" spans="1:10">
      <c r="A485" s="26">
        <v>45115</v>
      </c>
      <c r="B485" t="s">
        <v>240</v>
      </c>
      <c r="C485" t="s">
        <v>283</v>
      </c>
      <c r="D485" t="s">
        <v>242</v>
      </c>
      <c r="E485" t="s">
        <v>8</v>
      </c>
      <c r="F485" t="s">
        <v>238</v>
      </c>
      <c r="G485" t="s">
        <v>303</v>
      </c>
      <c r="H485">
        <v>12</v>
      </c>
      <c r="I485">
        <v>2820.88</v>
      </c>
      <c r="J485">
        <v>33850.559999999998</v>
      </c>
    </row>
    <row r="486" spans="1:10">
      <c r="A486" s="26">
        <v>45143</v>
      </c>
      <c r="B486" t="s">
        <v>271</v>
      </c>
      <c r="C486" t="s">
        <v>249</v>
      </c>
      <c r="D486" t="s">
        <v>232</v>
      </c>
      <c r="E486" t="s">
        <v>6</v>
      </c>
      <c r="F486" t="s">
        <v>238</v>
      </c>
      <c r="G486" t="s">
        <v>239</v>
      </c>
      <c r="H486">
        <v>10</v>
      </c>
      <c r="I486">
        <v>1512.64</v>
      </c>
      <c r="J486">
        <v>15126.4</v>
      </c>
    </row>
    <row r="487" spans="1:10">
      <c r="A487" t="s">
        <v>440</v>
      </c>
      <c r="B487" t="s">
        <v>257</v>
      </c>
      <c r="C487" t="s">
        <v>273</v>
      </c>
      <c r="D487" t="s">
        <v>252</v>
      </c>
      <c r="E487" t="s">
        <v>5</v>
      </c>
      <c r="F487" t="s">
        <v>250</v>
      </c>
      <c r="G487" t="s">
        <v>251</v>
      </c>
      <c r="H487">
        <v>5</v>
      </c>
      <c r="I487">
        <v>3199.14</v>
      </c>
      <c r="J487">
        <v>15995.7</v>
      </c>
    </row>
    <row r="488" spans="1:10">
      <c r="A488" t="s">
        <v>442</v>
      </c>
      <c r="B488" t="s">
        <v>230</v>
      </c>
      <c r="C488" t="s">
        <v>261</v>
      </c>
      <c r="D488" t="s">
        <v>247</v>
      </c>
      <c r="E488" t="s">
        <v>6</v>
      </c>
      <c r="F488" t="s">
        <v>259</v>
      </c>
      <c r="G488" t="s">
        <v>299</v>
      </c>
      <c r="H488">
        <v>11</v>
      </c>
      <c r="I488">
        <v>4315</v>
      </c>
      <c r="J488">
        <v>47465</v>
      </c>
    </row>
    <row r="489" spans="1:10">
      <c r="A489" s="26">
        <v>45057</v>
      </c>
      <c r="B489" t="s">
        <v>235</v>
      </c>
      <c r="C489" t="s">
        <v>231</v>
      </c>
      <c r="D489" t="s">
        <v>232</v>
      </c>
      <c r="E489" t="s">
        <v>6</v>
      </c>
      <c r="F489" t="s">
        <v>250</v>
      </c>
      <c r="G489" t="s">
        <v>284</v>
      </c>
      <c r="H489">
        <v>9</v>
      </c>
      <c r="I489">
        <v>2118.17</v>
      </c>
      <c r="J489">
        <v>19063.53</v>
      </c>
    </row>
    <row r="490" spans="1:10">
      <c r="A490" s="26">
        <v>45017</v>
      </c>
      <c r="B490" t="s">
        <v>280</v>
      </c>
      <c r="C490" t="s">
        <v>273</v>
      </c>
      <c r="D490" t="s">
        <v>252</v>
      </c>
      <c r="E490" t="s">
        <v>5</v>
      </c>
      <c r="F490" t="s">
        <v>238</v>
      </c>
      <c r="G490" t="s">
        <v>256</v>
      </c>
      <c r="H490">
        <v>18</v>
      </c>
      <c r="I490">
        <v>1042.99</v>
      </c>
      <c r="J490">
        <v>18773.82</v>
      </c>
    </row>
    <row r="491" spans="1:10">
      <c r="A491" t="s">
        <v>263</v>
      </c>
      <c r="B491" t="s">
        <v>235</v>
      </c>
      <c r="C491" t="s">
        <v>281</v>
      </c>
      <c r="D491" t="s">
        <v>252</v>
      </c>
      <c r="E491" t="s">
        <v>5</v>
      </c>
      <c r="F491" t="s">
        <v>259</v>
      </c>
      <c r="G491" t="s">
        <v>299</v>
      </c>
      <c r="H491">
        <v>6</v>
      </c>
      <c r="I491">
        <v>4707.38</v>
      </c>
      <c r="J491">
        <v>28244.28</v>
      </c>
    </row>
    <row r="492" spans="1:10">
      <c r="A492" t="s">
        <v>443</v>
      </c>
      <c r="B492" t="s">
        <v>254</v>
      </c>
      <c r="C492" t="s">
        <v>231</v>
      </c>
      <c r="D492" t="s">
        <v>232</v>
      </c>
      <c r="E492" t="s">
        <v>6</v>
      </c>
      <c r="F492" t="s">
        <v>250</v>
      </c>
      <c r="G492" t="s">
        <v>284</v>
      </c>
      <c r="H492">
        <v>8</v>
      </c>
      <c r="I492">
        <v>360.87</v>
      </c>
      <c r="J492">
        <v>2886.96</v>
      </c>
    </row>
    <row r="493" spans="1:10">
      <c r="A493" s="26">
        <v>45140</v>
      </c>
      <c r="B493" t="s">
        <v>248</v>
      </c>
      <c r="C493" t="s">
        <v>255</v>
      </c>
      <c r="D493" t="s">
        <v>237</v>
      </c>
      <c r="E493" t="s">
        <v>8</v>
      </c>
      <c r="F493" t="s">
        <v>238</v>
      </c>
      <c r="G493" t="s">
        <v>296</v>
      </c>
      <c r="H493">
        <v>12</v>
      </c>
      <c r="I493">
        <v>2519.65</v>
      </c>
      <c r="J493">
        <v>30235.8</v>
      </c>
    </row>
    <row r="494" spans="1:10">
      <c r="A494" s="26">
        <v>45176</v>
      </c>
      <c r="B494" t="s">
        <v>240</v>
      </c>
      <c r="C494" t="s">
        <v>273</v>
      </c>
      <c r="D494" t="s">
        <v>252</v>
      </c>
      <c r="E494" t="s">
        <v>5</v>
      </c>
      <c r="F494" t="s">
        <v>238</v>
      </c>
      <c r="G494" t="s">
        <v>256</v>
      </c>
      <c r="H494">
        <v>7</v>
      </c>
      <c r="I494">
        <v>2861.67</v>
      </c>
      <c r="J494">
        <v>20031.689999999999</v>
      </c>
    </row>
    <row r="495" spans="1:10">
      <c r="A495" t="s">
        <v>370</v>
      </c>
      <c r="B495" t="s">
        <v>240</v>
      </c>
      <c r="C495" t="s">
        <v>313</v>
      </c>
      <c r="D495" t="s">
        <v>252</v>
      </c>
      <c r="E495" t="s">
        <v>5</v>
      </c>
      <c r="F495" t="s">
        <v>250</v>
      </c>
      <c r="G495" t="s">
        <v>277</v>
      </c>
      <c r="H495">
        <v>11</v>
      </c>
      <c r="I495">
        <v>4896.83</v>
      </c>
      <c r="J495">
        <v>53865.13</v>
      </c>
    </row>
    <row r="496" spans="1:10">
      <c r="A496" t="s">
        <v>437</v>
      </c>
      <c r="B496" t="s">
        <v>235</v>
      </c>
      <c r="C496" t="s">
        <v>261</v>
      </c>
      <c r="D496" t="s">
        <v>247</v>
      </c>
      <c r="E496" t="s">
        <v>6</v>
      </c>
      <c r="F496" t="s">
        <v>259</v>
      </c>
      <c r="G496" t="s">
        <v>182</v>
      </c>
      <c r="H496">
        <v>15</v>
      </c>
      <c r="I496">
        <v>4180.6099999999997</v>
      </c>
      <c r="J496">
        <v>62709.15</v>
      </c>
    </row>
    <row r="497" spans="1:10">
      <c r="A497" s="26">
        <v>45242</v>
      </c>
      <c r="B497" t="s">
        <v>257</v>
      </c>
      <c r="C497" t="s">
        <v>281</v>
      </c>
      <c r="D497" t="s">
        <v>252</v>
      </c>
      <c r="E497" t="s">
        <v>5</v>
      </c>
      <c r="F497" t="s">
        <v>250</v>
      </c>
      <c r="G497" t="s">
        <v>251</v>
      </c>
      <c r="H497">
        <v>2</v>
      </c>
      <c r="I497">
        <v>3747.71</v>
      </c>
      <c r="J497">
        <v>7495.42</v>
      </c>
    </row>
    <row r="498" spans="1:10">
      <c r="A498" t="s">
        <v>444</v>
      </c>
      <c r="B498" t="s">
        <v>271</v>
      </c>
      <c r="C498" t="s">
        <v>281</v>
      </c>
      <c r="D498" t="s">
        <v>252</v>
      </c>
      <c r="E498" t="s">
        <v>5</v>
      </c>
      <c r="F498" t="s">
        <v>238</v>
      </c>
      <c r="G498" t="s">
        <v>296</v>
      </c>
      <c r="H498">
        <v>3</v>
      </c>
      <c r="I498">
        <v>2792.38</v>
      </c>
      <c r="J498">
        <v>8377.14</v>
      </c>
    </row>
    <row r="499" spans="1:10">
      <c r="A499" s="26">
        <v>45028</v>
      </c>
      <c r="B499" t="s">
        <v>254</v>
      </c>
      <c r="C499" t="s">
        <v>249</v>
      </c>
      <c r="D499" t="s">
        <v>232</v>
      </c>
      <c r="E499" t="s">
        <v>6</v>
      </c>
      <c r="F499" t="s">
        <v>259</v>
      </c>
      <c r="G499" t="s">
        <v>182</v>
      </c>
      <c r="H499">
        <v>17</v>
      </c>
      <c r="I499">
        <v>683.31</v>
      </c>
      <c r="J499">
        <v>11616.27</v>
      </c>
    </row>
    <row r="500" spans="1:10">
      <c r="A500" s="26">
        <v>44986</v>
      </c>
      <c r="B500" t="s">
        <v>257</v>
      </c>
      <c r="C500" t="s">
        <v>313</v>
      </c>
      <c r="D500" t="s">
        <v>252</v>
      </c>
      <c r="E500" t="s">
        <v>5</v>
      </c>
      <c r="F500" t="s">
        <v>245</v>
      </c>
      <c r="G500" t="s">
        <v>269</v>
      </c>
      <c r="H500">
        <v>20</v>
      </c>
      <c r="I500">
        <v>3463.6</v>
      </c>
      <c r="J500">
        <v>69272</v>
      </c>
    </row>
    <row r="501" spans="1:10">
      <c r="A501" t="s">
        <v>445</v>
      </c>
      <c r="B501" t="s">
        <v>248</v>
      </c>
      <c r="C501" t="s">
        <v>258</v>
      </c>
      <c r="D501" t="s">
        <v>242</v>
      </c>
      <c r="E501" t="s">
        <v>8</v>
      </c>
      <c r="F501" t="s">
        <v>238</v>
      </c>
      <c r="G501" t="s">
        <v>303</v>
      </c>
      <c r="H501">
        <v>9</v>
      </c>
      <c r="I501">
        <v>1609.98</v>
      </c>
      <c r="J501">
        <v>14489.82</v>
      </c>
    </row>
    <row r="502" spans="1:10">
      <c r="A502" s="26">
        <v>45084</v>
      </c>
      <c r="B502" t="s">
        <v>235</v>
      </c>
      <c r="C502" t="s">
        <v>249</v>
      </c>
      <c r="D502" t="s">
        <v>232</v>
      </c>
      <c r="E502" t="s">
        <v>6</v>
      </c>
      <c r="F502" t="s">
        <v>238</v>
      </c>
      <c r="G502" t="s">
        <v>296</v>
      </c>
      <c r="H502">
        <v>4</v>
      </c>
      <c r="I502">
        <v>2836.34</v>
      </c>
      <c r="J502">
        <v>11345.36</v>
      </c>
    </row>
    <row r="503" spans="1:10">
      <c r="A503" t="s">
        <v>345</v>
      </c>
      <c r="B503" t="s">
        <v>268</v>
      </c>
      <c r="C503" t="s">
        <v>261</v>
      </c>
      <c r="D503" t="s">
        <v>247</v>
      </c>
      <c r="E503" t="s">
        <v>6</v>
      </c>
      <c r="F503" t="s">
        <v>259</v>
      </c>
      <c r="G503" t="s">
        <v>298</v>
      </c>
      <c r="H503">
        <v>18</v>
      </c>
      <c r="I503">
        <v>3238.98</v>
      </c>
      <c r="J503">
        <v>58301.64</v>
      </c>
    </row>
    <row r="504" spans="1:10">
      <c r="A504" t="s">
        <v>393</v>
      </c>
      <c r="B504" t="s">
        <v>248</v>
      </c>
      <c r="C504" t="s">
        <v>258</v>
      </c>
      <c r="D504" t="s">
        <v>242</v>
      </c>
      <c r="E504" t="s">
        <v>8</v>
      </c>
      <c r="F504" t="s">
        <v>233</v>
      </c>
      <c r="G504" t="s">
        <v>301</v>
      </c>
      <c r="H504">
        <v>20</v>
      </c>
      <c r="I504">
        <v>2791.25</v>
      </c>
      <c r="J504">
        <v>55825</v>
      </c>
    </row>
    <row r="505" spans="1:10">
      <c r="A505" t="s">
        <v>434</v>
      </c>
      <c r="B505" t="s">
        <v>235</v>
      </c>
      <c r="C505" t="s">
        <v>276</v>
      </c>
      <c r="D505" t="s">
        <v>247</v>
      </c>
      <c r="E505" t="s">
        <v>6</v>
      </c>
      <c r="F505" t="s">
        <v>245</v>
      </c>
      <c r="G505" t="s">
        <v>246</v>
      </c>
      <c r="H505">
        <v>1</v>
      </c>
      <c r="I505">
        <v>3165.04</v>
      </c>
      <c r="J505">
        <v>3165.04</v>
      </c>
    </row>
    <row r="506" spans="1:10">
      <c r="A506" s="26">
        <v>45117</v>
      </c>
      <c r="B506" t="s">
        <v>235</v>
      </c>
      <c r="C506" t="s">
        <v>231</v>
      </c>
      <c r="D506" t="s">
        <v>232</v>
      </c>
      <c r="E506" t="s">
        <v>6</v>
      </c>
      <c r="F506" t="s">
        <v>238</v>
      </c>
      <c r="G506" t="s">
        <v>239</v>
      </c>
      <c r="H506">
        <v>14</v>
      </c>
      <c r="I506">
        <v>3414.59</v>
      </c>
      <c r="J506">
        <v>47804.26</v>
      </c>
    </row>
    <row r="507" spans="1:10">
      <c r="A507" s="26">
        <v>45240</v>
      </c>
      <c r="B507" t="s">
        <v>260</v>
      </c>
      <c r="C507" t="s">
        <v>274</v>
      </c>
      <c r="D507" t="s">
        <v>232</v>
      </c>
      <c r="E507" t="s">
        <v>6</v>
      </c>
      <c r="F507" t="s">
        <v>259</v>
      </c>
      <c r="G507" t="s">
        <v>298</v>
      </c>
      <c r="H507">
        <v>4</v>
      </c>
      <c r="I507">
        <v>3896.69</v>
      </c>
      <c r="J507">
        <v>15586.76</v>
      </c>
    </row>
    <row r="508" spans="1:10">
      <c r="A508" t="s">
        <v>446</v>
      </c>
      <c r="B508" t="s">
        <v>248</v>
      </c>
      <c r="C508" t="s">
        <v>244</v>
      </c>
      <c r="D508" t="s">
        <v>237</v>
      </c>
      <c r="E508" t="s">
        <v>8</v>
      </c>
      <c r="F508" t="s">
        <v>245</v>
      </c>
      <c r="G508" t="s">
        <v>295</v>
      </c>
      <c r="H508">
        <v>5</v>
      </c>
      <c r="I508">
        <v>2024.36</v>
      </c>
      <c r="J508">
        <v>10121.799999999999</v>
      </c>
    </row>
    <row r="509" spans="1:10">
      <c r="A509" s="26">
        <v>45207</v>
      </c>
      <c r="B509" t="s">
        <v>254</v>
      </c>
      <c r="C509" t="s">
        <v>273</v>
      </c>
      <c r="D509" t="s">
        <v>252</v>
      </c>
      <c r="E509" t="s">
        <v>5</v>
      </c>
      <c r="F509" t="s">
        <v>245</v>
      </c>
      <c r="G509" t="s">
        <v>246</v>
      </c>
      <c r="H509">
        <v>17</v>
      </c>
      <c r="I509">
        <v>102.62</v>
      </c>
      <c r="J509">
        <v>1744.54</v>
      </c>
    </row>
    <row r="510" spans="1:10">
      <c r="A510" t="s">
        <v>447</v>
      </c>
      <c r="B510" t="s">
        <v>248</v>
      </c>
      <c r="C510" t="s">
        <v>276</v>
      </c>
      <c r="D510" t="s">
        <v>247</v>
      </c>
      <c r="E510" t="s">
        <v>6</v>
      </c>
      <c r="F510" t="s">
        <v>238</v>
      </c>
      <c r="G510" t="s">
        <v>239</v>
      </c>
      <c r="H510">
        <v>7</v>
      </c>
      <c r="I510">
        <v>146.52000000000001</v>
      </c>
      <c r="J510">
        <v>1025.6400000000001</v>
      </c>
    </row>
    <row r="511" spans="1:10">
      <c r="A511" t="s">
        <v>448</v>
      </c>
      <c r="B511" t="s">
        <v>254</v>
      </c>
      <c r="C511" t="s">
        <v>273</v>
      </c>
      <c r="D511" t="s">
        <v>252</v>
      </c>
      <c r="E511" t="s">
        <v>5</v>
      </c>
      <c r="F511" t="s">
        <v>233</v>
      </c>
      <c r="G511" t="s">
        <v>301</v>
      </c>
      <c r="H511">
        <v>2</v>
      </c>
      <c r="I511">
        <v>4248</v>
      </c>
      <c r="J511">
        <v>8496</v>
      </c>
    </row>
    <row r="512" spans="1:10">
      <c r="A512" s="26">
        <v>44929</v>
      </c>
      <c r="B512" t="s">
        <v>280</v>
      </c>
      <c r="C512" t="s">
        <v>231</v>
      </c>
      <c r="D512" t="s">
        <v>232</v>
      </c>
      <c r="E512" t="s">
        <v>6</v>
      </c>
      <c r="F512" t="s">
        <v>245</v>
      </c>
      <c r="G512" t="s">
        <v>246</v>
      </c>
      <c r="H512">
        <v>8</v>
      </c>
      <c r="I512">
        <v>3075.58</v>
      </c>
      <c r="J512">
        <v>24604.639999999999</v>
      </c>
    </row>
    <row r="513" spans="1:10">
      <c r="A513" t="s">
        <v>447</v>
      </c>
      <c r="B513" t="s">
        <v>257</v>
      </c>
      <c r="C513" t="s">
        <v>313</v>
      </c>
      <c r="D513" t="s">
        <v>252</v>
      </c>
      <c r="E513" t="s">
        <v>5</v>
      </c>
      <c r="F513" t="s">
        <v>250</v>
      </c>
      <c r="G513" t="s">
        <v>251</v>
      </c>
      <c r="H513">
        <v>13</v>
      </c>
      <c r="I513">
        <v>1246.1400000000001</v>
      </c>
      <c r="J513">
        <v>16199.82</v>
      </c>
    </row>
    <row r="514" spans="1:10">
      <c r="A514" s="26">
        <v>44966</v>
      </c>
      <c r="B514" t="s">
        <v>271</v>
      </c>
      <c r="C514" t="s">
        <v>236</v>
      </c>
      <c r="D514" t="s">
        <v>237</v>
      </c>
      <c r="E514" t="s">
        <v>8</v>
      </c>
      <c r="F514" t="s">
        <v>259</v>
      </c>
      <c r="G514" t="s">
        <v>179</v>
      </c>
      <c r="H514">
        <v>16</v>
      </c>
      <c r="I514">
        <v>3942.95</v>
      </c>
      <c r="J514">
        <v>63087.199999999997</v>
      </c>
    </row>
    <row r="515" spans="1:10">
      <c r="A515" s="26">
        <v>45233</v>
      </c>
      <c r="B515" t="s">
        <v>280</v>
      </c>
      <c r="C515" t="s">
        <v>313</v>
      </c>
      <c r="D515" t="s">
        <v>252</v>
      </c>
      <c r="E515" t="s">
        <v>5</v>
      </c>
      <c r="F515" t="s">
        <v>238</v>
      </c>
      <c r="G515" t="s">
        <v>303</v>
      </c>
      <c r="H515">
        <v>1</v>
      </c>
      <c r="I515">
        <v>936.56</v>
      </c>
      <c r="J515">
        <v>936.56</v>
      </c>
    </row>
    <row r="516" spans="1:10">
      <c r="A516" t="s">
        <v>368</v>
      </c>
      <c r="B516" t="s">
        <v>260</v>
      </c>
      <c r="C516" t="s">
        <v>273</v>
      </c>
      <c r="D516" t="s">
        <v>252</v>
      </c>
      <c r="E516" t="s">
        <v>5</v>
      </c>
      <c r="F516" t="s">
        <v>245</v>
      </c>
      <c r="G516" t="s">
        <v>246</v>
      </c>
      <c r="H516">
        <v>7</v>
      </c>
      <c r="I516">
        <v>1628.68</v>
      </c>
      <c r="J516">
        <v>11400.76</v>
      </c>
    </row>
    <row r="517" spans="1:10">
      <c r="A517" t="s">
        <v>449</v>
      </c>
      <c r="B517" t="s">
        <v>268</v>
      </c>
      <c r="C517" t="s">
        <v>276</v>
      </c>
      <c r="D517" t="s">
        <v>247</v>
      </c>
      <c r="E517" t="s">
        <v>6</v>
      </c>
      <c r="F517" t="s">
        <v>238</v>
      </c>
      <c r="G517" t="s">
        <v>256</v>
      </c>
      <c r="H517">
        <v>10</v>
      </c>
      <c r="I517">
        <v>3400.28</v>
      </c>
      <c r="J517">
        <v>34002.800000000003</v>
      </c>
    </row>
    <row r="518" spans="1:10">
      <c r="A518" s="26">
        <v>45081</v>
      </c>
      <c r="B518" t="s">
        <v>254</v>
      </c>
      <c r="C518" t="s">
        <v>283</v>
      </c>
      <c r="D518" t="s">
        <v>242</v>
      </c>
      <c r="E518" t="s">
        <v>8</v>
      </c>
      <c r="F518" t="s">
        <v>238</v>
      </c>
      <c r="G518" t="s">
        <v>296</v>
      </c>
      <c r="H518">
        <v>18</v>
      </c>
      <c r="I518">
        <v>2722.99</v>
      </c>
      <c r="J518">
        <v>49013.82</v>
      </c>
    </row>
    <row r="519" spans="1:10">
      <c r="A519" s="26">
        <v>45082</v>
      </c>
      <c r="B519" t="s">
        <v>240</v>
      </c>
      <c r="C519" t="s">
        <v>241</v>
      </c>
      <c r="D519" t="s">
        <v>242</v>
      </c>
      <c r="E519" t="s">
        <v>8</v>
      </c>
      <c r="F519" t="s">
        <v>250</v>
      </c>
      <c r="G519" t="s">
        <v>284</v>
      </c>
      <c r="H519">
        <v>8</v>
      </c>
      <c r="I519">
        <v>4612.53</v>
      </c>
      <c r="J519">
        <v>36900.239999999998</v>
      </c>
    </row>
    <row r="520" spans="1:10">
      <c r="A520" t="s">
        <v>450</v>
      </c>
      <c r="B520" t="s">
        <v>254</v>
      </c>
      <c r="C520" t="s">
        <v>231</v>
      </c>
      <c r="D520" t="s">
        <v>232</v>
      </c>
      <c r="E520" t="s">
        <v>6</v>
      </c>
      <c r="F520" t="s">
        <v>250</v>
      </c>
      <c r="G520" t="s">
        <v>251</v>
      </c>
      <c r="H520">
        <v>13</v>
      </c>
      <c r="I520">
        <v>2040.1</v>
      </c>
      <c r="J520">
        <v>26521.3</v>
      </c>
    </row>
    <row r="521" spans="1:10">
      <c r="A521" t="s">
        <v>265</v>
      </c>
      <c r="B521" t="s">
        <v>257</v>
      </c>
      <c r="C521" t="s">
        <v>283</v>
      </c>
      <c r="D521" t="s">
        <v>242</v>
      </c>
      <c r="E521" t="s">
        <v>8</v>
      </c>
      <c r="F521" t="s">
        <v>259</v>
      </c>
      <c r="G521" t="s">
        <v>299</v>
      </c>
      <c r="H521">
        <v>17</v>
      </c>
      <c r="I521">
        <v>1122.98</v>
      </c>
      <c r="J521">
        <v>19090.66</v>
      </c>
    </row>
    <row r="522" spans="1:10">
      <c r="A522" s="26">
        <v>45027</v>
      </c>
      <c r="B522" t="s">
        <v>248</v>
      </c>
      <c r="C522" t="s">
        <v>231</v>
      </c>
      <c r="D522" t="s">
        <v>232</v>
      </c>
      <c r="E522" t="s">
        <v>6</v>
      </c>
      <c r="F522" t="s">
        <v>250</v>
      </c>
      <c r="G522" t="s">
        <v>251</v>
      </c>
      <c r="H522">
        <v>16</v>
      </c>
      <c r="I522">
        <v>2458.6</v>
      </c>
      <c r="J522">
        <v>39337.599999999999</v>
      </c>
    </row>
    <row r="523" spans="1:10">
      <c r="A523" t="s">
        <v>451</v>
      </c>
      <c r="B523" t="s">
        <v>280</v>
      </c>
      <c r="C523" t="s">
        <v>231</v>
      </c>
      <c r="D523" t="s">
        <v>232</v>
      </c>
      <c r="E523" t="s">
        <v>6</v>
      </c>
      <c r="F523" t="s">
        <v>233</v>
      </c>
      <c r="G523" t="s">
        <v>287</v>
      </c>
      <c r="H523">
        <v>9</v>
      </c>
      <c r="I523">
        <v>3195.18</v>
      </c>
      <c r="J523">
        <v>28756.62</v>
      </c>
    </row>
    <row r="524" spans="1:10">
      <c r="A524" s="26">
        <v>45026</v>
      </c>
      <c r="B524" t="s">
        <v>248</v>
      </c>
      <c r="C524" t="s">
        <v>236</v>
      </c>
      <c r="D524" t="s">
        <v>237</v>
      </c>
      <c r="E524" t="s">
        <v>8</v>
      </c>
      <c r="F524" t="s">
        <v>233</v>
      </c>
      <c r="G524" t="s">
        <v>301</v>
      </c>
      <c r="H524">
        <v>3</v>
      </c>
      <c r="I524">
        <v>384.96</v>
      </c>
      <c r="J524">
        <v>1154.8800000000001</v>
      </c>
    </row>
    <row r="525" spans="1:10">
      <c r="A525" t="s">
        <v>452</v>
      </c>
      <c r="B525" t="s">
        <v>260</v>
      </c>
      <c r="C525" t="s">
        <v>231</v>
      </c>
      <c r="D525" t="s">
        <v>232</v>
      </c>
      <c r="E525" t="s">
        <v>6</v>
      </c>
      <c r="F525" t="s">
        <v>250</v>
      </c>
      <c r="G525" t="s">
        <v>277</v>
      </c>
      <c r="H525">
        <v>4</v>
      </c>
      <c r="I525">
        <v>3714.59</v>
      </c>
      <c r="J525">
        <v>14858.36</v>
      </c>
    </row>
    <row r="526" spans="1:10">
      <c r="A526" t="s">
        <v>453</v>
      </c>
      <c r="B526" t="s">
        <v>280</v>
      </c>
      <c r="C526" t="s">
        <v>241</v>
      </c>
      <c r="D526" t="s">
        <v>242</v>
      </c>
      <c r="E526" t="s">
        <v>8</v>
      </c>
      <c r="F526" t="s">
        <v>250</v>
      </c>
      <c r="G526" t="s">
        <v>293</v>
      </c>
      <c r="H526">
        <v>9</v>
      </c>
      <c r="I526">
        <v>1765.86</v>
      </c>
      <c r="J526">
        <v>15892.74</v>
      </c>
    </row>
    <row r="527" spans="1:10">
      <c r="A527" s="26">
        <v>45114</v>
      </c>
      <c r="B527" t="s">
        <v>230</v>
      </c>
      <c r="C527" t="s">
        <v>261</v>
      </c>
      <c r="D527" t="s">
        <v>247</v>
      </c>
      <c r="E527" t="s">
        <v>6</v>
      </c>
      <c r="F527" t="s">
        <v>250</v>
      </c>
      <c r="G527" t="s">
        <v>277</v>
      </c>
      <c r="H527">
        <v>8</v>
      </c>
      <c r="I527">
        <v>3069.86</v>
      </c>
      <c r="J527">
        <v>24558.880000000001</v>
      </c>
    </row>
    <row r="528" spans="1:10">
      <c r="A528" t="s">
        <v>380</v>
      </c>
      <c r="B528" t="s">
        <v>268</v>
      </c>
      <c r="C528" t="s">
        <v>281</v>
      </c>
      <c r="D528" t="s">
        <v>252</v>
      </c>
      <c r="E528" t="s">
        <v>5</v>
      </c>
      <c r="F528" t="s">
        <v>233</v>
      </c>
      <c r="G528" t="s">
        <v>234</v>
      </c>
      <c r="H528">
        <v>9</v>
      </c>
      <c r="I528">
        <v>1720.47</v>
      </c>
      <c r="J528">
        <v>15484.23</v>
      </c>
    </row>
    <row r="529" spans="1:10">
      <c r="A529" t="s">
        <v>454</v>
      </c>
      <c r="B529" t="s">
        <v>254</v>
      </c>
      <c r="C529" t="s">
        <v>258</v>
      </c>
      <c r="D529" t="s">
        <v>242</v>
      </c>
      <c r="E529" t="s">
        <v>8</v>
      </c>
      <c r="F529" t="s">
        <v>245</v>
      </c>
      <c r="G529" t="s">
        <v>266</v>
      </c>
      <c r="H529">
        <v>7</v>
      </c>
      <c r="I529">
        <v>3416.74</v>
      </c>
      <c r="J529">
        <v>23917.18</v>
      </c>
    </row>
    <row r="530" spans="1:10">
      <c r="A530" t="s">
        <v>411</v>
      </c>
      <c r="B530" t="s">
        <v>268</v>
      </c>
      <c r="C530" t="s">
        <v>258</v>
      </c>
      <c r="D530" t="s">
        <v>242</v>
      </c>
      <c r="E530" t="s">
        <v>8</v>
      </c>
      <c r="F530" t="s">
        <v>233</v>
      </c>
      <c r="G530" t="s">
        <v>234</v>
      </c>
      <c r="H530">
        <v>7</v>
      </c>
      <c r="I530">
        <v>4741.12</v>
      </c>
      <c r="J530">
        <v>33187.839999999997</v>
      </c>
    </row>
    <row r="531" spans="1:10">
      <c r="A531" s="26">
        <v>45205</v>
      </c>
      <c r="B531" t="s">
        <v>271</v>
      </c>
      <c r="C531" t="s">
        <v>281</v>
      </c>
      <c r="D531" t="s">
        <v>252</v>
      </c>
      <c r="E531" t="s">
        <v>5</v>
      </c>
      <c r="F531" t="s">
        <v>245</v>
      </c>
      <c r="G531" t="s">
        <v>269</v>
      </c>
      <c r="H531">
        <v>20</v>
      </c>
      <c r="I531">
        <v>2721.24</v>
      </c>
      <c r="J531">
        <v>54424.800000000003</v>
      </c>
    </row>
    <row r="532" spans="1:10">
      <c r="A532" t="s">
        <v>455</v>
      </c>
      <c r="B532" t="s">
        <v>260</v>
      </c>
      <c r="C532" t="s">
        <v>261</v>
      </c>
      <c r="D532" t="s">
        <v>247</v>
      </c>
      <c r="E532" t="s">
        <v>6</v>
      </c>
      <c r="F532" t="s">
        <v>259</v>
      </c>
      <c r="G532" t="s">
        <v>182</v>
      </c>
      <c r="H532">
        <v>4</v>
      </c>
      <c r="I532">
        <v>3751.49</v>
      </c>
      <c r="J532">
        <v>15005.96</v>
      </c>
    </row>
    <row r="533" spans="1:10">
      <c r="A533" t="s">
        <v>265</v>
      </c>
      <c r="B533" t="s">
        <v>280</v>
      </c>
      <c r="C533" t="s">
        <v>283</v>
      </c>
      <c r="D533" t="s">
        <v>242</v>
      </c>
      <c r="E533" t="s">
        <v>8</v>
      </c>
      <c r="F533" t="s">
        <v>245</v>
      </c>
      <c r="G533" t="s">
        <v>295</v>
      </c>
      <c r="H533">
        <v>19</v>
      </c>
      <c r="I533">
        <v>4513.6000000000004</v>
      </c>
      <c r="J533">
        <v>85758.399999999994</v>
      </c>
    </row>
    <row r="534" spans="1:10">
      <c r="A534" s="26">
        <v>45231</v>
      </c>
      <c r="B534" t="s">
        <v>271</v>
      </c>
      <c r="C534" t="s">
        <v>236</v>
      </c>
      <c r="D534" t="s">
        <v>237</v>
      </c>
      <c r="E534" t="s">
        <v>8</v>
      </c>
      <c r="F534" t="s">
        <v>233</v>
      </c>
      <c r="G534" t="s">
        <v>304</v>
      </c>
      <c r="H534">
        <v>11</v>
      </c>
      <c r="I534">
        <v>3514.12</v>
      </c>
      <c r="J534">
        <v>38655.32</v>
      </c>
    </row>
    <row r="535" spans="1:10">
      <c r="A535" t="s">
        <v>448</v>
      </c>
      <c r="B535" t="s">
        <v>268</v>
      </c>
      <c r="C535" t="s">
        <v>258</v>
      </c>
      <c r="D535" t="s">
        <v>242</v>
      </c>
      <c r="E535" t="s">
        <v>8</v>
      </c>
      <c r="F535" t="s">
        <v>233</v>
      </c>
      <c r="G535" t="s">
        <v>287</v>
      </c>
      <c r="H535">
        <v>13</v>
      </c>
      <c r="I535">
        <v>2109.15</v>
      </c>
      <c r="J535">
        <v>27418.95</v>
      </c>
    </row>
    <row r="536" spans="1:10">
      <c r="A536" t="s">
        <v>447</v>
      </c>
      <c r="B536" t="s">
        <v>235</v>
      </c>
      <c r="C536" t="s">
        <v>236</v>
      </c>
      <c r="D536" t="s">
        <v>237</v>
      </c>
      <c r="E536" t="s">
        <v>8</v>
      </c>
      <c r="F536" t="s">
        <v>245</v>
      </c>
      <c r="G536" t="s">
        <v>266</v>
      </c>
      <c r="H536">
        <v>16</v>
      </c>
      <c r="I536">
        <v>4090.26</v>
      </c>
      <c r="J536">
        <v>65444.160000000003</v>
      </c>
    </row>
    <row r="537" spans="1:10">
      <c r="A537" t="s">
        <v>456</v>
      </c>
      <c r="B537" t="s">
        <v>240</v>
      </c>
      <c r="C537" t="s">
        <v>316</v>
      </c>
      <c r="D537" t="s">
        <v>247</v>
      </c>
      <c r="E537" t="s">
        <v>6</v>
      </c>
      <c r="F537" t="s">
        <v>245</v>
      </c>
      <c r="G537" t="s">
        <v>269</v>
      </c>
      <c r="H537">
        <v>12</v>
      </c>
      <c r="I537">
        <v>219.32</v>
      </c>
      <c r="J537">
        <v>2631.84</v>
      </c>
    </row>
    <row r="538" spans="1:10">
      <c r="A538" t="s">
        <v>288</v>
      </c>
      <c r="B538" t="s">
        <v>230</v>
      </c>
      <c r="C538" t="s">
        <v>281</v>
      </c>
      <c r="D538" t="s">
        <v>252</v>
      </c>
      <c r="E538" t="s">
        <v>5</v>
      </c>
      <c r="F538" t="s">
        <v>238</v>
      </c>
      <c r="G538" t="s">
        <v>296</v>
      </c>
      <c r="H538">
        <v>14</v>
      </c>
      <c r="I538">
        <v>264.77</v>
      </c>
      <c r="J538">
        <v>3706.78</v>
      </c>
    </row>
    <row r="539" spans="1:10">
      <c r="A539" s="26">
        <v>44931</v>
      </c>
      <c r="B539" t="s">
        <v>271</v>
      </c>
      <c r="C539" t="s">
        <v>244</v>
      </c>
      <c r="D539" t="s">
        <v>237</v>
      </c>
      <c r="E539" t="s">
        <v>8</v>
      </c>
      <c r="F539" t="s">
        <v>245</v>
      </c>
      <c r="G539" t="s">
        <v>269</v>
      </c>
      <c r="H539">
        <v>9</v>
      </c>
      <c r="I539">
        <v>2624.88</v>
      </c>
      <c r="J539">
        <v>23623.919999999998</v>
      </c>
    </row>
    <row r="540" spans="1:10">
      <c r="A540" s="26">
        <v>45022</v>
      </c>
      <c r="B540" t="s">
        <v>257</v>
      </c>
      <c r="C540" t="s">
        <v>276</v>
      </c>
      <c r="D540" t="s">
        <v>247</v>
      </c>
      <c r="E540" t="s">
        <v>6</v>
      </c>
      <c r="F540" t="s">
        <v>233</v>
      </c>
      <c r="G540" t="s">
        <v>301</v>
      </c>
      <c r="H540">
        <v>15</v>
      </c>
      <c r="I540">
        <v>1063.8800000000001</v>
      </c>
      <c r="J540">
        <v>15958.2</v>
      </c>
    </row>
    <row r="541" spans="1:10">
      <c r="A541" t="s">
        <v>452</v>
      </c>
      <c r="B541" t="s">
        <v>271</v>
      </c>
      <c r="C541" t="s">
        <v>255</v>
      </c>
      <c r="D541" t="s">
        <v>237</v>
      </c>
      <c r="E541" t="s">
        <v>8</v>
      </c>
      <c r="F541" t="s">
        <v>245</v>
      </c>
      <c r="G541" t="s">
        <v>269</v>
      </c>
      <c r="H541">
        <v>2</v>
      </c>
      <c r="I541">
        <v>4277.8999999999996</v>
      </c>
      <c r="J541">
        <v>8555.7999999999993</v>
      </c>
    </row>
    <row r="542" spans="1:10">
      <c r="A542" t="s">
        <v>457</v>
      </c>
      <c r="B542" t="s">
        <v>230</v>
      </c>
      <c r="C542" t="s">
        <v>261</v>
      </c>
      <c r="D542" t="s">
        <v>247</v>
      </c>
      <c r="E542" t="s">
        <v>6</v>
      </c>
      <c r="F542" t="s">
        <v>245</v>
      </c>
      <c r="G542" t="s">
        <v>295</v>
      </c>
      <c r="H542">
        <v>13</v>
      </c>
      <c r="I542">
        <v>1762.69</v>
      </c>
      <c r="J542">
        <v>22914.97</v>
      </c>
    </row>
    <row r="543" spans="1:10">
      <c r="A543" t="s">
        <v>321</v>
      </c>
      <c r="B543" t="s">
        <v>254</v>
      </c>
      <c r="C543" t="s">
        <v>258</v>
      </c>
      <c r="D543" t="s">
        <v>242</v>
      </c>
      <c r="E543" t="s">
        <v>8</v>
      </c>
      <c r="F543" t="s">
        <v>245</v>
      </c>
      <c r="G543" t="s">
        <v>295</v>
      </c>
      <c r="H543">
        <v>6</v>
      </c>
      <c r="I543">
        <v>2069.96</v>
      </c>
      <c r="J543">
        <v>12419.76</v>
      </c>
    </row>
    <row r="544" spans="1:10">
      <c r="A544" t="s">
        <v>444</v>
      </c>
      <c r="B544" t="s">
        <v>235</v>
      </c>
      <c r="C544" t="s">
        <v>313</v>
      </c>
      <c r="D544" t="s">
        <v>252</v>
      </c>
      <c r="E544" t="s">
        <v>5</v>
      </c>
      <c r="F544" t="s">
        <v>245</v>
      </c>
      <c r="G544" t="s">
        <v>269</v>
      </c>
      <c r="H544">
        <v>19</v>
      </c>
      <c r="I544">
        <v>3822.54</v>
      </c>
      <c r="J544">
        <v>72628.259999999995</v>
      </c>
    </row>
    <row r="545" spans="1:10">
      <c r="A545" s="26">
        <v>45087</v>
      </c>
      <c r="B545" t="s">
        <v>235</v>
      </c>
      <c r="C545" t="s">
        <v>313</v>
      </c>
      <c r="D545" t="s">
        <v>252</v>
      </c>
      <c r="E545" t="s">
        <v>5</v>
      </c>
      <c r="F545" t="s">
        <v>250</v>
      </c>
      <c r="G545" t="s">
        <v>284</v>
      </c>
      <c r="H545">
        <v>16</v>
      </c>
      <c r="I545">
        <v>242.23</v>
      </c>
      <c r="J545">
        <v>3875.68</v>
      </c>
    </row>
    <row r="546" spans="1:10">
      <c r="A546" t="s">
        <v>420</v>
      </c>
      <c r="B546" t="s">
        <v>257</v>
      </c>
      <c r="C546" t="s">
        <v>276</v>
      </c>
      <c r="D546" t="s">
        <v>247</v>
      </c>
      <c r="E546" t="s">
        <v>6</v>
      </c>
      <c r="F546" t="s">
        <v>238</v>
      </c>
      <c r="G546" t="s">
        <v>256</v>
      </c>
      <c r="H546">
        <v>12</v>
      </c>
      <c r="I546">
        <v>2290.7600000000002</v>
      </c>
      <c r="J546">
        <v>27489.119999999999</v>
      </c>
    </row>
    <row r="547" spans="1:10">
      <c r="A547" t="s">
        <v>439</v>
      </c>
      <c r="B547" t="s">
        <v>280</v>
      </c>
      <c r="C547" t="s">
        <v>249</v>
      </c>
      <c r="D547" t="s">
        <v>232</v>
      </c>
      <c r="E547" t="s">
        <v>6</v>
      </c>
      <c r="F547" t="s">
        <v>245</v>
      </c>
      <c r="G547" t="s">
        <v>269</v>
      </c>
      <c r="H547">
        <v>18</v>
      </c>
      <c r="I547">
        <v>1957.78</v>
      </c>
      <c r="J547">
        <v>35240.04</v>
      </c>
    </row>
    <row r="548" spans="1:10">
      <c r="A548" s="26">
        <v>45088</v>
      </c>
      <c r="B548" t="s">
        <v>268</v>
      </c>
      <c r="C548" t="s">
        <v>249</v>
      </c>
      <c r="D548" t="s">
        <v>232</v>
      </c>
      <c r="E548" t="s">
        <v>6</v>
      </c>
      <c r="F548" t="s">
        <v>238</v>
      </c>
      <c r="G548" t="s">
        <v>303</v>
      </c>
      <c r="H548">
        <v>1</v>
      </c>
      <c r="I548">
        <v>4370.57</v>
      </c>
      <c r="J548">
        <v>4370.57</v>
      </c>
    </row>
    <row r="549" spans="1:10">
      <c r="A549" t="s">
        <v>450</v>
      </c>
      <c r="B549" t="s">
        <v>254</v>
      </c>
      <c r="C549" t="s">
        <v>313</v>
      </c>
      <c r="D549" t="s">
        <v>252</v>
      </c>
      <c r="E549" t="s">
        <v>5</v>
      </c>
      <c r="F549" t="s">
        <v>250</v>
      </c>
      <c r="G549" t="s">
        <v>277</v>
      </c>
      <c r="H549">
        <v>3</v>
      </c>
      <c r="I549">
        <v>1894.71</v>
      </c>
      <c r="J549">
        <v>5684.13</v>
      </c>
    </row>
    <row r="550" spans="1:10">
      <c r="A550" s="26">
        <v>45271</v>
      </c>
      <c r="B550" t="s">
        <v>240</v>
      </c>
      <c r="C550" t="s">
        <v>276</v>
      </c>
      <c r="D550" t="s">
        <v>247</v>
      </c>
      <c r="E550" t="s">
        <v>6</v>
      </c>
      <c r="F550" t="s">
        <v>250</v>
      </c>
      <c r="G550" t="s">
        <v>293</v>
      </c>
      <c r="H550">
        <v>14</v>
      </c>
      <c r="I550">
        <v>367.1</v>
      </c>
      <c r="J550">
        <v>5139.3999999999996</v>
      </c>
    </row>
    <row r="551" spans="1:10">
      <c r="A551" t="s">
        <v>455</v>
      </c>
      <c r="B551" t="s">
        <v>248</v>
      </c>
      <c r="C551" t="s">
        <v>316</v>
      </c>
      <c r="D551" t="s">
        <v>247</v>
      </c>
      <c r="E551" t="s">
        <v>6</v>
      </c>
      <c r="F551" t="s">
        <v>259</v>
      </c>
      <c r="G551" t="s">
        <v>179</v>
      </c>
      <c r="H551">
        <v>10</v>
      </c>
      <c r="I551">
        <v>4678.49</v>
      </c>
      <c r="J551">
        <v>46784.9</v>
      </c>
    </row>
    <row r="552" spans="1:10">
      <c r="A552" s="26">
        <v>45201</v>
      </c>
      <c r="B552" t="s">
        <v>235</v>
      </c>
      <c r="C552" t="s">
        <v>281</v>
      </c>
      <c r="D552" t="s">
        <v>252</v>
      </c>
      <c r="E552" t="s">
        <v>5</v>
      </c>
      <c r="F552" t="s">
        <v>250</v>
      </c>
      <c r="G552" t="s">
        <v>284</v>
      </c>
      <c r="H552">
        <v>12</v>
      </c>
      <c r="I552">
        <v>1020.42</v>
      </c>
      <c r="J552">
        <v>12245.04</v>
      </c>
    </row>
    <row r="553" spans="1:10">
      <c r="A553" t="s">
        <v>450</v>
      </c>
      <c r="B553" t="s">
        <v>254</v>
      </c>
      <c r="C553" t="s">
        <v>241</v>
      </c>
      <c r="D553" t="s">
        <v>242</v>
      </c>
      <c r="E553" t="s">
        <v>8</v>
      </c>
      <c r="F553" t="s">
        <v>259</v>
      </c>
      <c r="G553" t="s">
        <v>182</v>
      </c>
      <c r="H553">
        <v>15</v>
      </c>
      <c r="I553">
        <v>1669.04</v>
      </c>
      <c r="J553">
        <v>25035.599999999999</v>
      </c>
    </row>
    <row r="554" spans="1:10">
      <c r="A554" t="s">
        <v>411</v>
      </c>
      <c r="B554" t="s">
        <v>271</v>
      </c>
      <c r="C554" t="s">
        <v>274</v>
      </c>
      <c r="D554" t="s">
        <v>232</v>
      </c>
      <c r="E554" t="s">
        <v>6</v>
      </c>
      <c r="F554" t="s">
        <v>238</v>
      </c>
      <c r="G554" t="s">
        <v>303</v>
      </c>
      <c r="H554">
        <v>18</v>
      </c>
      <c r="I554">
        <v>138.01</v>
      </c>
      <c r="J554">
        <v>2484.1799999999998</v>
      </c>
    </row>
    <row r="555" spans="1:10">
      <c r="A555" t="s">
        <v>449</v>
      </c>
      <c r="B555" t="s">
        <v>271</v>
      </c>
      <c r="C555" t="s">
        <v>261</v>
      </c>
      <c r="D555" t="s">
        <v>247</v>
      </c>
      <c r="E555" t="s">
        <v>6</v>
      </c>
      <c r="F555" t="s">
        <v>238</v>
      </c>
      <c r="G555" t="s">
        <v>239</v>
      </c>
      <c r="H555">
        <v>6</v>
      </c>
      <c r="I555">
        <v>3847.76</v>
      </c>
      <c r="J555">
        <v>23086.560000000001</v>
      </c>
    </row>
    <row r="556" spans="1:10">
      <c r="A556" s="26">
        <v>45177</v>
      </c>
      <c r="B556" t="s">
        <v>268</v>
      </c>
      <c r="C556" t="s">
        <v>249</v>
      </c>
      <c r="D556" t="s">
        <v>232</v>
      </c>
      <c r="E556" t="s">
        <v>6</v>
      </c>
      <c r="F556" t="s">
        <v>250</v>
      </c>
      <c r="G556" t="s">
        <v>251</v>
      </c>
      <c r="H556">
        <v>4</v>
      </c>
      <c r="I556">
        <v>3246.52</v>
      </c>
      <c r="J556">
        <v>12986.08</v>
      </c>
    </row>
    <row r="557" spans="1:10">
      <c r="A557" t="s">
        <v>345</v>
      </c>
      <c r="B557" t="s">
        <v>280</v>
      </c>
      <c r="C557" t="s">
        <v>313</v>
      </c>
      <c r="D557" t="s">
        <v>252</v>
      </c>
      <c r="E557" t="s">
        <v>5</v>
      </c>
      <c r="F557" t="s">
        <v>238</v>
      </c>
      <c r="G557" t="s">
        <v>296</v>
      </c>
      <c r="H557">
        <v>14</v>
      </c>
      <c r="I557">
        <v>569.91</v>
      </c>
      <c r="J557">
        <v>7978.74</v>
      </c>
    </row>
    <row r="558" spans="1:10">
      <c r="A558" s="26">
        <v>45261</v>
      </c>
      <c r="B558" t="s">
        <v>260</v>
      </c>
      <c r="C558" t="s">
        <v>255</v>
      </c>
      <c r="D558" t="s">
        <v>237</v>
      </c>
      <c r="E558" t="s">
        <v>8</v>
      </c>
      <c r="F558" t="s">
        <v>259</v>
      </c>
      <c r="G558" t="s">
        <v>182</v>
      </c>
      <c r="H558">
        <v>15</v>
      </c>
      <c r="I558">
        <v>4316.17</v>
      </c>
      <c r="J558">
        <v>64742.55</v>
      </c>
    </row>
    <row r="559" spans="1:10">
      <c r="A559" t="s">
        <v>414</v>
      </c>
      <c r="B559" t="s">
        <v>235</v>
      </c>
      <c r="C559" t="s">
        <v>255</v>
      </c>
      <c r="D559" t="s">
        <v>237</v>
      </c>
      <c r="E559" t="s">
        <v>8</v>
      </c>
      <c r="F559" t="s">
        <v>245</v>
      </c>
      <c r="G559" t="s">
        <v>246</v>
      </c>
      <c r="H559">
        <v>17</v>
      </c>
      <c r="I559">
        <v>2209.62</v>
      </c>
      <c r="J559">
        <v>37563.54</v>
      </c>
    </row>
    <row r="560" spans="1:10">
      <c r="A560" s="26">
        <v>45117</v>
      </c>
      <c r="B560" t="s">
        <v>260</v>
      </c>
      <c r="C560" t="s">
        <v>273</v>
      </c>
      <c r="D560" t="s">
        <v>252</v>
      </c>
      <c r="E560" t="s">
        <v>5</v>
      </c>
      <c r="F560" t="s">
        <v>233</v>
      </c>
      <c r="G560" t="s">
        <v>301</v>
      </c>
      <c r="H560">
        <v>16</v>
      </c>
      <c r="I560">
        <v>3296.61</v>
      </c>
      <c r="J560">
        <v>52745.760000000002</v>
      </c>
    </row>
    <row r="561" spans="1:10">
      <c r="A561" s="26">
        <v>44932</v>
      </c>
      <c r="B561" t="s">
        <v>230</v>
      </c>
      <c r="C561" t="s">
        <v>313</v>
      </c>
      <c r="D561" t="s">
        <v>252</v>
      </c>
      <c r="E561" t="s">
        <v>5</v>
      </c>
      <c r="F561" t="s">
        <v>233</v>
      </c>
      <c r="G561" t="s">
        <v>234</v>
      </c>
      <c r="H561">
        <v>13</v>
      </c>
      <c r="I561">
        <v>523.83000000000004</v>
      </c>
      <c r="J561">
        <v>6809.79</v>
      </c>
    </row>
    <row r="562" spans="1:10">
      <c r="A562" t="s">
        <v>398</v>
      </c>
      <c r="B562" t="s">
        <v>254</v>
      </c>
      <c r="C562" t="s">
        <v>241</v>
      </c>
      <c r="D562" t="s">
        <v>242</v>
      </c>
      <c r="E562" t="s">
        <v>8</v>
      </c>
      <c r="F562" t="s">
        <v>259</v>
      </c>
      <c r="G562" t="s">
        <v>182</v>
      </c>
      <c r="H562">
        <v>3</v>
      </c>
      <c r="I562">
        <v>916.53</v>
      </c>
      <c r="J562">
        <v>2749.59</v>
      </c>
    </row>
    <row r="563" spans="1:10">
      <c r="A563" s="26">
        <v>45266</v>
      </c>
      <c r="B563" t="s">
        <v>230</v>
      </c>
      <c r="C563" t="s">
        <v>274</v>
      </c>
      <c r="D563" t="s">
        <v>232</v>
      </c>
      <c r="E563" t="s">
        <v>6</v>
      </c>
      <c r="F563" t="s">
        <v>245</v>
      </c>
      <c r="G563" t="s">
        <v>269</v>
      </c>
      <c r="H563">
        <v>13</v>
      </c>
      <c r="I563">
        <v>1836.55</v>
      </c>
      <c r="J563">
        <v>23875.15</v>
      </c>
    </row>
    <row r="564" spans="1:10">
      <c r="A564" t="s">
        <v>413</v>
      </c>
      <c r="B564" t="s">
        <v>248</v>
      </c>
      <c r="C564" t="s">
        <v>281</v>
      </c>
      <c r="D564" t="s">
        <v>252</v>
      </c>
      <c r="E564" t="s">
        <v>5</v>
      </c>
      <c r="F564" t="s">
        <v>245</v>
      </c>
      <c r="G564" t="s">
        <v>246</v>
      </c>
      <c r="H564">
        <v>19</v>
      </c>
      <c r="I564">
        <v>2253.92</v>
      </c>
      <c r="J564">
        <v>42824.480000000003</v>
      </c>
    </row>
    <row r="565" spans="1:10">
      <c r="A565" t="s">
        <v>458</v>
      </c>
      <c r="B565" t="s">
        <v>248</v>
      </c>
      <c r="C565" t="s">
        <v>274</v>
      </c>
      <c r="D565" t="s">
        <v>232</v>
      </c>
      <c r="E565" t="s">
        <v>6</v>
      </c>
      <c r="F565" t="s">
        <v>233</v>
      </c>
      <c r="G565" t="s">
        <v>234</v>
      </c>
      <c r="H565">
        <v>13</v>
      </c>
      <c r="I565">
        <v>3617.07</v>
      </c>
      <c r="J565">
        <v>47021.91</v>
      </c>
    </row>
    <row r="566" spans="1:10">
      <c r="A566" t="s">
        <v>459</v>
      </c>
      <c r="B566" t="s">
        <v>268</v>
      </c>
      <c r="C566" t="s">
        <v>258</v>
      </c>
      <c r="D566" t="s">
        <v>242</v>
      </c>
      <c r="E566" t="s">
        <v>8</v>
      </c>
      <c r="F566" t="s">
        <v>250</v>
      </c>
      <c r="G566" t="s">
        <v>293</v>
      </c>
      <c r="H566">
        <v>5</v>
      </c>
      <c r="I566">
        <v>417.76</v>
      </c>
      <c r="J566">
        <v>2088.8000000000002</v>
      </c>
    </row>
    <row r="567" spans="1:10">
      <c r="A567" s="26">
        <v>45144</v>
      </c>
      <c r="B567" t="s">
        <v>235</v>
      </c>
      <c r="C567" t="s">
        <v>231</v>
      </c>
      <c r="D567" t="s">
        <v>232</v>
      </c>
      <c r="E567" t="s">
        <v>6</v>
      </c>
      <c r="F567" t="s">
        <v>259</v>
      </c>
      <c r="G567" t="s">
        <v>179</v>
      </c>
      <c r="H567">
        <v>11</v>
      </c>
      <c r="I567">
        <v>864.29</v>
      </c>
      <c r="J567">
        <v>9507.19</v>
      </c>
    </row>
    <row r="568" spans="1:10">
      <c r="A568" t="s">
        <v>460</v>
      </c>
      <c r="B568" t="s">
        <v>254</v>
      </c>
      <c r="C568" t="s">
        <v>273</v>
      </c>
      <c r="D568" t="s">
        <v>252</v>
      </c>
      <c r="E568" t="s">
        <v>5</v>
      </c>
      <c r="F568" t="s">
        <v>259</v>
      </c>
      <c r="G568" t="s">
        <v>179</v>
      </c>
      <c r="H568">
        <v>19</v>
      </c>
      <c r="I568">
        <v>2006.79</v>
      </c>
      <c r="J568">
        <v>38129.01</v>
      </c>
    </row>
    <row r="569" spans="1:10">
      <c r="A569" t="s">
        <v>351</v>
      </c>
      <c r="B569" t="s">
        <v>235</v>
      </c>
      <c r="C569" t="s">
        <v>261</v>
      </c>
      <c r="D569" t="s">
        <v>247</v>
      </c>
      <c r="E569" t="s">
        <v>6</v>
      </c>
      <c r="F569" t="s">
        <v>250</v>
      </c>
      <c r="G569" t="s">
        <v>284</v>
      </c>
      <c r="H569">
        <v>1</v>
      </c>
      <c r="I569">
        <v>403.2</v>
      </c>
      <c r="J569">
        <v>403.2</v>
      </c>
    </row>
    <row r="570" spans="1:10">
      <c r="A570" t="s">
        <v>263</v>
      </c>
      <c r="B570" t="s">
        <v>271</v>
      </c>
      <c r="C570" t="s">
        <v>274</v>
      </c>
      <c r="D570" t="s">
        <v>232</v>
      </c>
      <c r="E570" t="s">
        <v>6</v>
      </c>
      <c r="F570" t="s">
        <v>233</v>
      </c>
      <c r="G570" t="s">
        <v>304</v>
      </c>
      <c r="H570">
        <v>7</v>
      </c>
      <c r="I570">
        <v>2846.83</v>
      </c>
      <c r="J570">
        <v>19927.810000000001</v>
      </c>
    </row>
    <row r="571" spans="1:10">
      <c r="A571" t="s">
        <v>359</v>
      </c>
      <c r="B571" t="s">
        <v>230</v>
      </c>
      <c r="C571" t="s">
        <v>255</v>
      </c>
      <c r="D571" t="s">
        <v>237</v>
      </c>
      <c r="E571" t="s">
        <v>8</v>
      </c>
      <c r="F571" t="s">
        <v>245</v>
      </c>
      <c r="G571" t="s">
        <v>246</v>
      </c>
      <c r="H571">
        <v>5</v>
      </c>
      <c r="I571">
        <v>850.9</v>
      </c>
      <c r="J571">
        <v>4254.5</v>
      </c>
    </row>
    <row r="572" spans="1:10">
      <c r="A572" t="s">
        <v>430</v>
      </c>
      <c r="B572" t="s">
        <v>257</v>
      </c>
      <c r="C572" t="s">
        <v>273</v>
      </c>
      <c r="D572" t="s">
        <v>252</v>
      </c>
      <c r="E572" t="s">
        <v>5</v>
      </c>
      <c r="F572" t="s">
        <v>259</v>
      </c>
      <c r="G572" t="s">
        <v>298</v>
      </c>
      <c r="H572">
        <v>16</v>
      </c>
      <c r="I572">
        <v>3337.15</v>
      </c>
      <c r="J572">
        <v>53394.400000000001</v>
      </c>
    </row>
    <row r="573" spans="1:10">
      <c r="A573" t="s">
        <v>461</v>
      </c>
      <c r="B573" t="s">
        <v>257</v>
      </c>
      <c r="C573" t="s">
        <v>241</v>
      </c>
      <c r="D573" t="s">
        <v>242</v>
      </c>
      <c r="E573" t="s">
        <v>8</v>
      </c>
      <c r="F573" t="s">
        <v>245</v>
      </c>
      <c r="G573" t="s">
        <v>266</v>
      </c>
      <c r="H573">
        <v>15</v>
      </c>
      <c r="I573">
        <v>1299.55</v>
      </c>
      <c r="J573">
        <v>19493.25</v>
      </c>
    </row>
    <row r="574" spans="1:10">
      <c r="A574" t="s">
        <v>321</v>
      </c>
      <c r="B574" t="s">
        <v>257</v>
      </c>
      <c r="C574" t="s">
        <v>241</v>
      </c>
      <c r="D574" t="s">
        <v>242</v>
      </c>
      <c r="E574" t="s">
        <v>8</v>
      </c>
      <c r="F574" t="s">
        <v>250</v>
      </c>
      <c r="G574" t="s">
        <v>284</v>
      </c>
      <c r="H574">
        <v>7</v>
      </c>
      <c r="I574">
        <v>4898.57</v>
      </c>
      <c r="J574">
        <v>34289.99</v>
      </c>
    </row>
    <row r="575" spans="1:10">
      <c r="A575" s="26">
        <v>45109</v>
      </c>
      <c r="B575" t="s">
        <v>230</v>
      </c>
      <c r="C575" t="s">
        <v>236</v>
      </c>
      <c r="D575" t="s">
        <v>237</v>
      </c>
      <c r="E575" t="s">
        <v>8</v>
      </c>
      <c r="F575" t="s">
        <v>245</v>
      </c>
      <c r="G575" t="s">
        <v>295</v>
      </c>
      <c r="H575">
        <v>11</v>
      </c>
      <c r="I575">
        <v>2471.65</v>
      </c>
      <c r="J575">
        <v>27188.15</v>
      </c>
    </row>
    <row r="576" spans="1:10">
      <c r="A576" t="s">
        <v>312</v>
      </c>
      <c r="B576" t="s">
        <v>257</v>
      </c>
      <c r="C576" t="s">
        <v>244</v>
      </c>
      <c r="D576" t="s">
        <v>237</v>
      </c>
      <c r="E576" t="s">
        <v>8</v>
      </c>
      <c r="F576" t="s">
        <v>238</v>
      </c>
      <c r="G576" t="s">
        <v>256</v>
      </c>
      <c r="H576">
        <v>2</v>
      </c>
      <c r="I576">
        <v>1125.53</v>
      </c>
      <c r="J576">
        <v>2251.06</v>
      </c>
    </row>
    <row r="577" spans="1:10">
      <c r="A577" s="26">
        <v>44966</v>
      </c>
      <c r="B577" t="s">
        <v>240</v>
      </c>
      <c r="C577" t="s">
        <v>261</v>
      </c>
      <c r="D577" t="s">
        <v>247</v>
      </c>
      <c r="E577" t="s">
        <v>6</v>
      </c>
      <c r="F577" t="s">
        <v>233</v>
      </c>
      <c r="G577" t="s">
        <v>234</v>
      </c>
      <c r="H577">
        <v>13</v>
      </c>
      <c r="I577">
        <v>2835.8</v>
      </c>
      <c r="J577">
        <v>36865.4</v>
      </c>
    </row>
    <row r="578" spans="1:10">
      <c r="A578" s="26">
        <v>45234</v>
      </c>
      <c r="B578" t="s">
        <v>260</v>
      </c>
      <c r="C578" t="s">
        <v>241</v>
      </c>
      <c r="D578" t="s">
        <v>242</v>
      </c>
      <c r="E578" t="s">
        <v>8</v>
      </c>
      <c r="F578" t="s">
        <v>250</v>
      </c>
      <c r="G578" t="s">
        <v>284</v>
      </c>
      <c r="H578">
        <v>17</v>
      </c>
      <c r="I578">
        <v>3973.87</v>
      </c>
      <c r="J578">
        <v>67555.789999999994</v>
      </c>
    </row>
    <row r="579" spans="1:10">
      <c r="A579" s="26">
        <v>45261</v>
      </c>
      <c r="B579" t="s">
        <v>240</v>
      </c>
      <c r="C579" t="s">
        <v>274</v>
      </c>
      <c r="D579" t="s">
        <v>232</v>
      </c>
      <c r="E579" t="s">
        <v>6</v>
      </c>
      <c r="F579" t="s">
        <v>259</v>
      </c>
      <c r="G579" t="s">
        <v>299</v>
      </c>
      <c r="H579">
        <v>4</v>
      </c>
      <c r="I579">
        <v>1998.26</v>
      </c>
      <c r="J579">
        <v>7993.04</v>
      </c>
    </row>
    <row r="580" spans="1:10">
      <c r="A580" s="26">
        <v>45148</v>
      </c>
      <c r="B580" t="s">
        <v>254</v>
      </c>
      <c r="C580" t="s">
        <v>258</v>
      </c>
      <c r="D580" t="s">
        <v>242</v>
      </c>
      <c r="E580" t="s">
        <v>8</v>
      </c>
      <c r="F580" t="s">
        <v>238</v>
      </c>
      <c r="G580" t="s">
        <v>256</v>
      </c>
      <c r="H580">
        <v>7</v>
      </c>
      <c r="I580">
        <v>3820.3</v>
      </c>
      <c r="J580">
        <v>26742.1</v>
      </c>
    </row>
    <row r="581" spans="1:10">
      <c r="A581" t="s">
        <v>417</v>
      </c>
      <c r="B581" t="s">
        <v>230</v>
      </c>
      <c r="C581" t="s">
        <v>276</v>
      </c>
      <c r="D581" t="s">
        <v>247</v>
      </c>
      <c r="E581" t="s">
        <v>6</v>
      </c>
      <c r="F581" t="s">
        <v>238</v>
      </c>
      <c r="G581" t="s">
        <v>303</v>
      </c>
      <c r="H581">
        <v>19</v>
      </c>
      <c r="I581">
        <v>2199.3200000000002</v>
      </c>
      <c r="J581">
        <v>41787.08</v>
      </c>
    </row>
    <row r="582" spans="1:10">
      <c r="A582" t="s">
        <v>437</v>
      </c>
      <c r="B582" t="s">
        <v>248</v>
      </c>
      <c r="C582" t="s">
        <v>236</v>
      </c>
      <c r="D582" t="s">
        <v>237</v>
      </c>
      <c r="E582" t="s">
        <v>8</v>
      </c>
      <c r="F582" t="s">
        <v>250</v>
      </c>
      <c r="G582" t="s">
        <v>251</v>
      </c>
      <c r="H582">
        <v>6</v>
      </c>
      <c r="I582">
        <v>578.64</v>
      </c>
      <c r="J582">
        <v>3471.84</v>
      </c>
    </row>
    <row r="583" spans="1:10">
      <c r="A583" s="26">
        <v>45118</v>
      </c>
      <c r="B583" t="s">
        <v>254</v>
      </c>
      <c r="C583" t="s">
        <v>255</v>
      </c>
      <c r="D583" t="s">
        <v>237</v>
      </c>
      <c r="E583" t="s">
        <v>8</v>
      </c>
      <c r="F583" t="s">
        <v>259</v>
      </c>
      <c r="G583" t="s">
        <v>182</v>
      </c>
      <c r="H583">
        <v>5</v>
      </c>
      <c r="I583">
        <v>1488.21</v>
      </c>
      <c r="J583">
        <v>7441.05</v>
      </c>
    </row>
    <row r="584" spans="1:10">
      <c r="A584" t="s">
        <v>462</v>
      </c>
      <c r="B584" t="s">
        <v>268</v>
      </c>
      <c r="C584" t="s">
        <v>236</v>
      </c>
      <c r="D584" t="s">
        <v>237</v>
      </c>
      <c r="E584" t="s">
        <v>8</v>
      </c>
      <c r="F584" t="s">
        <v>233</v>
      </c>
      <c r="G584" t="s">
        <v>304</v>
      </c>
      <c r="H584">
        <v>19</v>
      </c>
      <c r="I584">
        <v>3196.27</v>
      </c>
      <c r="J584">
        <v>60729.13</v>
      </c>
    </row>
    <row r="585" spans="1:10">
      <c r="A585" s="26">
        <v>45205</v>
      </c>
      <c r="B585" t="s">
        <v>240</v>
      </c>
      <c r="C585" t="s">
        <v>316</v>
      </c>
      <c r="D585" t="s">
        <v>247</v>
      </c>
      <c r="E585" t="s">
        <v>6</v>
      </c>
      <c r="F585" t="s">
        <v>250</v>
      </c>
      <c r="G585" t="s">
        <v>251</v>
      </c>
      <c r="H585">
        <v>5</v>
      </c>
      <c r="I585">
        <v>1018.53</v>
      </c>
      <c r="J585">
        <v>5092.6499999999996</v>
      </c>
    </row>
    <row r="586" spans="1:10">
      <c r="A586" t="s">
        <v>428</v>
      </c>
      <c r="B586" t="s">
        <v>260</v>
      </c>
      <c r="C586" t="s">
        <v>273</v>
      </c>
      <c r="D586" t="s">
        <v>252</v>
      </c>
      <c r="E586" t="s">
        <v>5</v>
      </c>
      <c r="F586" t="s">
        <v>238</v>
      </c>
      <c r="G586" t="s">
        <v>296</v>
      </c>
      <c r="H586">
        <v>13</v>
      </c>
      <c r="I586">
        <v>1367.15</v>
      </c>
      <c r="J586">
        <v>17772.95</v>
      </c>
    </row>
    <row r="587" spans="1:10">
      <c r="A587" s="26">
        <v>45117</v>
      </c>
      <c r="B587" t="s">
        <v>240</v>
      </c>
      <c r="C587" t="s">
        <v>255</v>
      </c>
      <c r="D587" t="s">
        <v>237</v>
      </c>
      <c r="E587" t="s">
        <v>8</v>
      </c>
      <c r="F587" t="s">
        <v>259</v>
      </c>
      <c r="G587" t="s">
        <v>299</v>
      </c>
      <c r="H587">
        <v>19</v>
      </c>
      <c r="I587">
        <v>4996.28</v>
      </c>
      <c r="J587">
        <v>94929.32</v>
      </c>
    </row>
    <row r="588" spans="1:10">
      <c r="A588" t="s">
        <v>355</v>
      </c>
      <c r="B588" t="s">
        <v>280</v>
      </c>
      <c r="C588" t="s">
        <v>249</v>
      </c>
      <c r="D588" t="s">
        <v>232</v>
      </c>
      <c r="E588" t="s">
        <v>6</v>
      </c>
      <c r="F588" t="s">
        <v>245</v>
      </c>
      <c r="G588" t="s">
        <v>269</v>
      </c>
      <c r="H588">
        <v>3</v>
      </c>
      <c r="I588">
        <v>4447.8999999999996</v>
      </c>
      <c r="J588">
        <v>13343.7</v>
      </c>
    </row>
    <row r="589" spans="1:10">
      <c r="A589" t="s">
        <v>399</v>
      </c>
      <c r="B589" t="s">
        <v>260</v>
      </c>
      <c r="C589" t="s">
        <v>274</v>
      </c>
      <c r="D589" t="s">
        <v>232</v>
      </c>
      <c r="E589" t="s">
        <v>6</v>
      </c>
      <c r="F589" t="s">
        <v>238</v>
      </c>
      <c r="G589" t="s">
        <v>239</v>
      </c>
      <c r="H589">
        <v>10</v>
      </c>
      <c r="I589">
        <v>1318.51</v>
      </c>
      <c r="J589">
        <v>13185.1</v>
      </c>
    </row>
    <row r="590" spans="1:10">
      <c r="A590" t="s">
        <v>279</v>
      </c>
      <c r="B590" t="s">
        <v>230</v>
      </c>
      <c r="C590" t="s">
        <v>236</v>
      </c>
      <c r="D590" t="s">
        <v>237</v>
      </c>
      <c r="E590" t="s">
        <v>8</v>
      </c>
      <c r="F590" t="s">
        <v>250</v>
      </c>
      <c r="G590" t="s">
        <v>293</v>
      </c>
      <c r="H590">
        <v>20</v>
      </c>
      <c r="I590">
        <v>1731.99</v>
      </c>
      <c r="J590">
        <v>34639.800000000003</v>
      </c>
    </row>
    <row r="591" spans="1:10">
      <c r="A591" s="26">
        <v>44938</v>
      </c>
      <c r="B591" t="s">
        <v>260</v>
      </c>
      <c r="C591" t="s">
        <v>231</v>
      </c>
      <c r="D591" t="s">
        <v>232</v>
      </c>
      <c r="E591" t="s">
        <v>6</v>
      </c>
      <c r="F591" t="s">
        <v>245</v>
      </c>
      <c r="G591" t="s">
        <v>246</v>
      </c>
      <c r="H591">
        <v>12</v>
      </c>
      <c r="I591">
        <v>4514.3900000000003</v>
      </c>
      <c r="J591">
        <v>54172.68</v>
      </c>
    </row>
    <row r="592" spans="1:10">
      <c r="A592" s="26">
        <v>45087</v>
      </c>
      <c r="B592" t="s">
        <v>280</v>
      </c>
      <c r="C592" t="s">
        <v>241</v>
      </c>
      <c r="D592" t="s">
        <v>242</v>
      </c>
      <c r="E592" t="s">
        <v>8</v>
      </c>
      <c r="F592" t="s">
        <v>233</v>
      </c>
      <c r="G592" t="s">
        <v>301</v>
      </c>
      <c r="H592">
        <v>20</v>
      </c>
      <c r="I592">
        <v>1710.93</v>
      </c>
      <c r="J592">
        <v>34218.6</v>
      </c>
    </row>
    <row r="593" spans="1:10">
      <c r="A593" s="26">
        <v>45204</v>
      </c>
      <c r="B593" t="s">
        <v>235</v>
      </c>
      <c r="C593" t="s">
        <v>283</v>
      </c>
      <c r="D593" t="s">
        <v>242</v>
      </c>
      <c r="E593" t="s">
        <v>8</v>
      </c>
      <c r="F593" t="s">
        <v>238</v>
      </c>
      <c r="G593" t="s">
        <v>256</v>
      </c>
      <c r="H593">
        <v>19</v>
      </c>
      <c r="I593">
        <v>491.53</v>
      </c>
      <c r="J593">
        <v>9339.07</v>
      </c>
    </row>
    <row r="594" spans="1:10">
      <c r="A594" s="26">
        <v>45268</v>
      </c>
      <c r="B594" t="s">
        <v>280</v>
      </c>
      <c r="C594" t="s">
        <v>241</v>
      </c>
      <c r="D594" t="s">
        <v>242</v>
      </c>
      <c r="E594" t="s">
        <v>8</v>
      </c>
      <c r="F594" t="s">
        <v>250</v>
      </c>
      <c r="G594" t="s">
        <v>251</v>
      </c>
      <c r="H594">
        <v>6</v>
      </c>
      <c r="I594">
        <v>203.88</v>
      </c>
      <c r="J594">
        <v>1223.28</v>
      </c>
    </row>
    <row r="595" spans="1:10">
      <c r="A595" t="s">
        <v>356</v>
      </c>
      <c r="B595" t="s">
        <v>235</v>
      </c>
      <c r="C595" t="s">
        <v>249</v>
      </c>
      <c r="D595" t="s">
        <v>232</v>
      </c>
      <c r="E595" t="s">
        <v>6</v>
      </c>
      <c r="F595" t="s">
        <v>238</v>
      </c>
      <c r="G595" t="s">
        <v>239</v>
      </c>
      <c r="H595">
        <v>19</v>
      </c>
      <c r="I595">
        <v>4786.8900000000003</v>
      </c>
      <c r="J595">
        <v>90950.91</v>
      </c>
    </row>
    <row r="596" spans="1:10">
      <c r="A596" s="26">
        <v>45210</v>
      </c>
      <c r="B596" t="s">
        <v>280</v>
      </c>
      <c r="C596" t="s">
        <v>258</v>
      </c>
      <c r="D596" t="s">
        <v>242</v>
      </c>
      <c r="E596" t="s">
        <v>8</v>
      </c>
      <c r="F596" t="s">
        <v>245</v>
      </c>
      <c r="G596" t="s">
        <v>269</v>
      </c>
      <c r="H596">
        <v>11</v>
      </c>
      <c r="I596">
        <v>2666.77</v>
      </c>
      <c r="J596">
        <v>29334.47</v>
      </c>
    </row>
    <row r="597" spans="1:10">
      <c r="A597" s="26">
        <v>45201</v>
      </c>
      <c r="B597" t="s">
        <v>248</v>
      </c>
      <c r="C597" t="s">
        <v>231</v>
      </c>
      <c r="D597" t="s">
        <v>232</v>
      </c>
      <c r="E597" t="s">
        <v>6</v>
      </c>
      <c r="F597" t="s">
        <v>259</v>
      </c>
      <c r="G597" t="s">
        <v>179</v>
      </c>
      <c r="H597">
        <v>19</v>
      </c>
      <c r="I597">
        <v>2174.7600000000002</v>
      </c>
      <c r="J597">
        <v>41320.44</v>
      </c>
    </row>
    <row r="598" spans="1:10">
      <c r="A598" t="s">
        <v>326</v>
      </c>
      <c r="B598" t="s">
        <v>248</v>
      </c>
      <c r="C598" t="s">
        <v>316</v>
      </c>
      <c r="D598" t="s">
        <v>247</v>
      </c>
      <c r="E598" t="s">
        <v>6</v>
      </c>
      <c r="F598" t="s">
        <v>238</v>
      </c>
      <c r="G598" t="s">
        <v>303</v>
      </c>
      <c r="H598">
        <v>1</v>
      </c>
      <c r="I598">
        <v>1678.18</v>
      </c>
      <c r="J598">
        <v>1678.18</v>
      </c>
    </row>
    <row r="599" spans="1:10">
      <c r="A599" t="s">
        <v>311</v>
      </c>
      <c r="B599" t="s">
        <v>257</v>
      </c>
      <c r="C599" t="s">
        <v>231</v>
      </c>
      <c r="D599" t="s">
        <v>232</v>
      </c>
      <c r="E599" t="s">
        <v>6</v>
      </c>
      <c r="F599" t="s">
        <v>259</v>
      </c>
      <c r="G599" t="s">
        <v>298</v>
      </c>
      <c r="H599">
        <v>20</v>
      </c>
      <c r="I599">
        <v>2163.9499999999998</v>
      </c>
      <c r="J599">
        <v>43279</v>
      </c>
    </row>
    <row r="600" spans="1:10">
      <c r="A600" s="26">
        <v>45058</v>
      </c>
      <c r="B600" t="s">
        <v>248</v>
      </c>
      <c r="C600" t="s">
        <v>231</v>
      </c>
      <c r="D600" t="s">
        <v>232</v>
      </c>
      <c r="E600" t="s">
        <v>6</v>
      </c>
      <c r="F600" t="s">
        <v>233</v>
      </c>
      <c r="G600" t="s">
        <v>234</v>
      </c>
      <c r="H600">
        <v>18</v>
      </c>
      <c r="I600">
        <v>3511.28</v>
      </c>
      <c r="J600">
        <v>63203.040000000001</v>
      </c>
    </row>
    <row r="601" spans="1:10">
      <c r="A601" s="26">
        <v>45047</v>
      </c>
      <c r="B601" t="s">
        <v>235</v>
      </c>
      <c r="C601" t="s">
        <v>258</v>
      </c>
      <c r="D601" t="s">
        <v>242</v>
      </c>
      <c r="E601" t="s">
        <v>8</v>
      </c>
      <c r="F601" t="s">
        <v>238</v>
      </c>
      <c r="G601" t="s">
        <v>296</v>
      </c>
      <c r="H601">
        <v>13</v>
      </c>
      <c r="I601">
        <v>2979.65</v>
      </c>
      <c r="J601">
        <v>38735.449999999997</v>
      </c>
    </row>
    <row r="602" spans="1:10">
      <c r="A602" t="s">
        <v>324</v>
      </c>
      <c r="B602" t="s">
        <v>271</v>
      </c>
      <c r="C602" t="s">
        <v>231</v>
      </c>
      <c r="D602" t="s">
        <v>232</v>
      </c>
      <c r="E602" t="s">
        <v>6</v>
      </c>
      <c r="F602" t="s">
        <v>245</v>
      </c>
      <c r="G602" t="s">
        <v>266</v>
      </c>
      <c r="H602">
        <v>4</v>
      </c>
      <c r="I602">
        <v>2985.48</v>
      </c>
      <c r="J602">
        <v>11941.92</v>
      </c>
    </row>
    <row r="603" spans="1:10">
      <c r="A603" t="s">
        <v>315</v>
      </c>
      <c r="B603" t="s">
        <v>254</v>
      </c>
      <c r="C603" t="s">
        <v>258</v>
      </c>
      <c r="D603" t="s">
        <v>242</v>
      </c>
      <c r="E603" t="s">
        <v>8</v>
      </c>
      <c r="F603" t="s">
        <v>238</v>
      </c>
      <c r="G603" t="s">
        <v>256</v>
      </c>
      <c r="H603">
        <v>18</v>
      </c>
      <c r="I603">
        <v>3989.44</v>
      </c>
      <c r="J603">
        <v>71809.919999999998</v>
      </c>
    </row>
    <row r="604" spans="1:10">
      <c r="A604" t="s">
        <v>439</v>
      </c>
      <c r="B604" t="s">
        <v>254</v>
      </c>
      <c r="C604" t="s">
        <v>261</v>
      </c>
      <c r="D604" t="s">
        <v>247</v>
      </c>
      <c r="E604" t="s">
        <v>6</v>
      </c>
      <c r="F604" t="s">
        <v>259</v>
      </c>
      <c r="G604" t="s">
        <v>299</v>
      </c>
      <c r="H604">
        <v>14</v>
      </c>
      <c r="I604">
        <v>2251.87</v>
      </c>
      <c r="J604">
        <v>31526.18</v>
      </c>
    </row>
    <row r="605" spans="1:10">
      <c r="A605" s="26">
        <v>45173</v>
      </c>
      <c r="B605" t="s">
        <v>280</v>
      </c>
      <c r="C605" t="s">
        <v>276</v>
      </c>
      <c r="D605" t="s">
        <v>247</v>
      </c>
      <c r="E605" t="s">
        <v>6</v>
      </c>
      <c r="F605" t="s">
        <v>250</v>
      </c>
      <c r="G605" t="s">
        <v>293</v>
      </c>
      <c r="H605">
        <v>8</v>
      </c>
      <c r="I605">
        <v>2519.3000000000002</v>
      </c>
      <c r="J605">
        <v>20154.400000000001</v>
      </c>
    </row>
    <row r="606" spans="1:10">
      <c r="A606" t="s">
        <v>438</v>
      </c>
      <c r="B606" t="s">
        <v>240</v>
      </c>
      <c r="C606" t="s">
        <v>258</v>
      </c>
      <c r="D606" t="s">
        <v>242</v>
      </c>
      <c r="E606" t="s">
        <v>8</v>
      </c>
      <c r="F606" t="s">
        <v>245</v>
      </c>
      <c r="G606" t="s">
        <v>246</v>
      </c>
      <c r="H606">
        <v>3</v>
      </c>
      <c r="I606">
        <v>1129.8800000000001</v>
      </c>
      <c r="J606">
        <v>3389.64</v>
      </c>
    </row>
    <row r="607" spans="1:10">
      <c r="A607" s="26">
        <v>45087</v>
      </c>
      <c r="B607" t="s">
        <v>230</v>
      </c>
      <c r="C607" t="s">
        <v>261</v>
      </c>
      <c r="D607" t="s">
        <v>247</v>
      </c>
      <c r="E607" t="s">
        <v>6</v>
      </c>
      <c r="F607" t="s">
        <v>233</v>
      </c>
      <c r="G607" t="s">
        <v>301</v>
      </c>
      <c r="H607">
        <v>15</v>
      </c>
      <c r="I607">
        <v>4146.03</v>
      </c>
      <c r="J607">
        <v>62190.45</v>
      </c>
    </row>
    <row r="608" spans="1:10">
      <c r="A608" s="26">
        <v>45113</v>
      </c>
      <c r="B608" t="s">
        <v>271</v>
      </c>
      <c r="C608" t="s">
        <v>231</v>
      </c>
      <c r="D608" t="s">
        <v>232</v>
      </c>
      <c r="E608" t="s">
        <v>6</v>
      </c>
      <c r="F608" t="s">
        <v>233</v>
      </c>
      <c r="G608" t="s">
        <v>287</v>
      </c>
      <c r="H608">
        <v>4</v>
      </c>
      <c r="I608">
        <v>3564.22</v>
      </c>
      <c r="J608">
        <v>14256.88</v>
      </c>
    </row>
    <row r="609" spans="1:10">
      <c r="A609" t="s">
        <v>443</v>
      </c>
      <c r="B609" t="s">
        <v>271</v>
      </c>
      <c r="C609" t="s">
        <v>236</v>
      </c>
      <c r="D609" t="s">
        <v>237</v>
      </c>
      <c r="E609" t="s">
        <v>8</v>
      </c>
      <c r="F609" t="s">
        <v>233</v>
      </c>
      <c r="G609" t="s">
        <v>301</v>
      </c>
      <c r="H609">
        <v>14</v>
      </c>
      <c r="I609">
        <v>414.51</v>
      </c>
      <c r="J609">
        <v>5803.14</v>
      </c>
    </row>
    <row r="610" spans="1:10">
      <c r="A610" t="s">
        <v>374</v>
      </c>
      <c r="B610" t="s">
        <v>280</v>
      </c>
      <c r="C610" t="s">
        <v>261</v>
      </c>
      <c r="D610" t="s">
        <v>247</v>
      </c>
      <c r="E610" t="s">
        <v>6</v>
      </c>
      <c r="F610" t="s">
        <v>233</v>
      </c>
      <c r="G610" t="s">
        <v>287</v>
      </c>
      <c r="H610">
        <v>11</v>
      </c>
      <c r="I610">
        <v>1788.39</v>
      </c>
      <c r="J610">
        <v>19672.29</v>
      </c>
    </row>
    <row r="611" spans="1:10">
      <c r="A611" t="s">
        <v>272</v>
      </c>
      <c r="B611" t="s">
        <v>257</v>
      </c>
      <c r="C611" t="s">
        <v>283</v>
      </c>
      <c r="D611" t="s">
        <v>242</v>
      </c>
      <c r="E611" t="s">
        <v>8</v>
      </c>
      <c r="F611" t="s">
        <v>245</v>
      </c>
      <c r="G611" t="s">
        <v>295</v>
      </c>
      <c r="H611">
        <v>6</v>
      </c>
      <c r="I611">
        <v>2867.98</v>
      </c>
      <c r="J611">
        <v>17207.88</v>
      </c>
    </row>
    <row r="612" spans="1:10">
      <c r="A612" t="s">
        <v>438</v>
      </c>
      <c r="B612" t="s">
        <v>248</v>
      </c>
      <c r="C612" t="s">
        <v>231</v>
      </c>
      <c r="D612" t="s">
        <v>232</v>
      </c>
      <c r="E612" t="s">
        <v>6</v>
      </c>
      <c r="F612" t="s">
        <v>245</v>
      </c>
      <c r="G612" t="s">
        <v>246</v>
      </c>
      <c r="H612">
        <v>6</v>
      </c>
      <c r="I612">
        <v>3566.53</v>
      </c>
      <c r="J612">
        <v>21399.18</v>
      </c>
    </row>
    <row r="613" spans="1:10">
      <c r="A613" s="26">
        <v>45025</v>
      </c>
      <c r="B613" t="s">
        <v>268</v>
      </c>
      <c r="C613" t="s">
        <v>276</v>
      </c>
      <c r="D613" t="s">
        <v>247</v>
      </c>
      <c r="E613" t="s">
        <v>6</v>
      </c>
      <c r="F613" t="s">
        <v>238</v>
      </c>
      <c r="G613" t="s">
        <v>256</v>
      </c>
      <c r="H613">
        <v>13</v>
      </c>
      <c r="I613">
        <v>2669.5</v>
      </c>
      <c r="J613">
        <v>34703.5</v>
      </c>
    </row>
    <row r="614" spans="1:10">
      <c r="A614" s="26">
        <v>45085</v>
      </c>
      <c r="B614" t="s">
        <v>260</v>
      </c>
      <c r="C614" t="s">
        <v>255</v>
      </c>
      <c r="D614" t="s">
        <v>237</v>
      </c>
      <c r="E614" t="s">
        <v>8</v>
      </c>
      <c r="F614" t="s">
        <v>250</v>
      </c>
      <c r="G614" t="s">
        <v>293</v>
      </c>
      <c r="H614">
        <v>6</v>
      </c>
      <c r="I614">
        <v>3842.46</v>
      </c>
      <c r="J614">
        <v>23054.76</v>
      </c>
    </row>
    <row r="615" spans="1:10">
      <c r="A615" t="s">
        <v>340</v>
      </c>
      <c r="B615" t="s">
        <v>254</v>
      </c>
      <c r="C615" t="s">
        <v>274</v>
      </c>
      <c r="D615" t="s">
        <v>232</v>
      </c>
      <c r="E615" t="s">
        <v>6</v>
      </c>
      <c r="F615" t="s">
        <v>233</v>
      </c>
      <c r="G615" t="s">
        <v>234</v>
      </c>
      <c r="H615">
        <v>13</v>
      </c>
      <c r="I615">
        <v>1419.3</v>
      </c>
      <c r="J615">
        <v>18450.900000000001</v>
      </c>
    </row>
    <row r="616" spans="1:10">
      <c r="A616" s="26">
        <v>44961</v>
      </c>
      <c r="B616" t="s">
        <v>248</v>
      </c>
      <c r="C616" t="s">
        <v>273</v>
      </c>
      <c r="D616" t="s">
        <v>252</v>
      </c>
      <c r="E616" t="s">
        <v>5</v>
      </c>
      <c r="F616" t="s">
        <v>259</v>
      </c>
      <c r="G616" t="s">
        <v>179</v>
      </c>
      <c r="H616">
        <v>1</v>
      </c>
      <c r="I616">
        <v>3187.31</v>
      </c>
      <c r="J616">
        <v>3187.31</v>
      </c>
    </row>
    <row r="617" spans="1:10">
      <c r="A617" s="26">
        <v>44968</v>
      </c>
      <c r="B617" t="s">
        <v>230</v>
      </c>
      <c r="C617" t="s">
        <v>241</v>
      </c>
      <c r="D617" t="s">
        <v>242</v>
      </c>
      <c r="E617" t="s">
        <v>8</v>
      </c>
      <c r="F617" t="s">
        <v>250</v>
      </c>
      <c r="G617" t="s">
        <v>293</v>
      </c>
      <c r="H617">
        <v>12</v>
      </c>
      <c r="I617">
        <v>1837.2</v>
      </c>
      <c r="J617">
        <v>22046.400000000001</v>
      </c>
    </row>
    <row r="618" spans="1:10">
      <c r="A618" t="s">
        <v>384</v>
      </c>
      <c r="B618" t="s">
        <v>248</v>
      </c>
      <c r="C618" t="s">
        <v>261</v>
      </c>
      <c r="D618" t="s">
        <v>247</v>
      </c>
      <c r="E618" t="s">
        <v>6</v>
      </c>
      <c r="F618" t="s">
        <v>259</v>
      </c>
      <c r="G618" t="s">
        <v>299</v>
      </c>
      <c r="H618">
        <v>2</v>
      </c>
      <c r="I618">
        <v>4081.92</v>
      </c>
      <c r="J618">
        <v>8163.84</v>
      </c>
    </row>
    <row r="619" spans="1:10">
      <c r="A619" t="s">
        <v>463</v>
      </c>
      <c r="B619" t="s">
        <v>235</v>
      </c>
      <c r="C619" t="s">
        <v>261</v>
      </c>
      <c r="D619" t="s">
        <v>247</v>
      </c>
      <c r="E619" t="s">
        <v>6</v>
      </c>
      <c r="F619" t="s">
        <v>250</v>
      </c>
      <c r="G619" t="s">
        <v>251</v>
      </c>
      <c r="H619">
        <v>20</v>
      </c>
      <c r="I619">
        <v>3184.86</v>
      </c>
      <c r="J619">
        <v>63697.2</v>
      </c>
    </row>
    <row r="620" spans="1:10">
      <c r="A620" t="s">
        <v>459</v>
      </c>
      <c r="B620" t="s">
        <v>254</v>
      </c>
      <c r="C620" t="s">
        <v>236</v>
      </c>
      <c r="D620" t="s">
        <v>237</v>
      </c>
      <c r="E620" t="s">
        <v>8</v>
      </c>
      <c r="F620" t="s">
        <v>233</v>
      </c>
      <c r="G620" t="s">
        <v>301</v>
      </c>
      <c r="H620">
        <v>8</v>
      </c>
      <c r="I620">
        <v>3402.24</v>
      </c>
      <c r="J620">
        <v>27217.919999999998</v>
      </c>
    </row>
    <row r="621" spans="1:10">
      <c r="A621" s="26">
        <v>44966</v>
      </c>
      <c r="B621" t="s">
        <v>254</v>
      </c>
      <c r="C621" t="s">
        <v>249</v>
      </c>
      <c r="D621" t="s">
        <v>232</v>
      </c>
      <c r="E621" t="s">
        <v>6</v>
      </c>
      <c r="F621" t="s">
        <v>233</v>
      </c>
      <c r="G621" t="s">
        <v>301</v>
      </c>
      <c r="H621">
        <v>10</v>
      </c>
      <c r="I621">
        <v>2750.69</v>
      </c>
      <c r="J621">
        <v>27506.9</v>
      </c>
    </row>
    <row r="622" spans="1:10">
      <c r="A622" s="26">
        <v>45233</v>
      </c>
      <c r="B622" t="s">
        <v>280</v>
      </c>
      <c r="C622" t="s">
        <v>274</v>
      </c>
      <c r="D622" t="s">
        <v>232</v>
      </c>
      <c r="E622" t="s">
        <v>6</v>
      </c>
      <c r="F622" t="s">
        <v>259</v>
      </c>
      <c r="G622" t="s">
        <v>179</v>
      </c>
      <c r="H622">
        <v>13</v>
      </c>
      <c r="I622">
        <v>4090.9</v>
      </c>
      <c r="J622">
        <v>53181.7</v>
      </c>
    </row>
    <row r="623" spans="1:10">
      <c r="A623" s="26">
        <v>45237</v>
      </c>
      <c r="B623" t="s">
        <v>271</v>
      </c>
      <c r="C623" t="s">
        <v>241</v>
      </c>
      <c r="D623" t="s">
        <v>242</v>
      </c>
      <c r="E623" t="s">
        <v>8</v>
      </c>
      <c r="F623" t="s">
        <v>250</v>
      </c>
      <c r="G623" t="s">
        <v>284</v>
      </c>
      <c r="H623">
        <v>3</v>
      </c>
      <c r="I623">
        <v>4234</v>
      </c>
      <c r="J623">
        <v>12702</v>
      </c>
    </row>
    <row r="624" spans="1:10">
      <c r="A624" s="26">
        <v>45083</v>
      </c>
      <c r="B624" t="s">
        <v>280</v>
      </c>
      <c r="C624" t="s">
        <v>244</v>
      </c>
      <c r="D624" t="s">
        <v>237</v>
      </c>
      <c r="E624" t="s">
        <v>8</v>
      </c>
      <c r="F624" t="s">
        <v>259</v>
      </c>
      <c r="G624" t="s">
        <v>298</v>
      </c>
      <c r="H624">
        <v>12</v>
      </c>
      <c r="I624">
        <v>1701.3</v>
      </c>
      <c r="J624">
        <v>20415.599999999999</v>
      </c>
    </row>
    <row r="625" spans="1:10">
      <c r="A625" s="26">
        <v>45053</v>
      </c>
      <c r="B625" t="s">
        <v>268</v>
      </c>
      <c r="C625" t="s">
        <v>255</v>
      </c>
      <c r="D625" t="s">
        <v>237</v>
      </c>
      <c r="E625" t="s">
        <v>8</v>
      </c>
      <c r="F625" t="s">
        <v>259</v>
      </c>
      <c r="G625" t="s">
        <v>299</v>
      </c>
      <c r="H625">
        <v>18</v>
      </c>
      <c r="I625">
        <v>1599.01</v>
      </c>
      <c r="J625">
        <v>28782.18</v>
      </c>
    </row>
    <row r="626" spans="1:10">
      <c r="A626" t="s">
        <v>361</v>
      </c>
      <c r="B626" t="s">
        <v>268</v>
      </c>
      <c r="C626" t="s">
        <v>283</v>
      </c>
      <c r="D626" t="s">
        <v>242</v>
      </c>
      <c r="E626" t="s">
        <v>8</v>
      </c>
      <c r="F626" t="s">
        <v>259</v>
      </c>
      <c r="G626" t="s">
        <v>179</v>
      </c>
      <c r="H626">
        <v>11</v>
      </c>
      <c r="I626">
        <v>4564.7299999999996</v>
      </c>
      <c r="J626">
        <v>50212.03</v>
      </c>
    </row>
    <row r="627" spans="1:10">
      <c r="A627" s="26">
        <v>44992</v>
      </c>
      <c r="B627" t="s">
        <v>230</v>
      </c>
      <c r="C627" t="s">
        <v>261</v>
      </c>
      <c r="D627" t="s">
        <v>247</v>
      </c>
      <c r="E627" t="s">
        <v>6</v>
      </c>
      <c r="F627" t="s">
        <v>233</v>
      </c>
      <c r="G627" t="s">
        <v>287</v>
      </c>
      <c r="H627">
        <v>14</v>
      </c>
      <c r="I627">
        <v>3507.75</v>
      </c>
      <c r="J627">
        <v>49108.5</v>
      </c>
    </row>
    <row r="628" spans="1:10">
      <c r="A628" t="s">
        <v>356</v>
      </c>
      <c r="B628" t="s">
        <v>260</v>
      </c>
      <c r="C628" t="s">
        <v>313</v>
      </c>
      <c r="D628" t="s">
        <v>252</v>
      </c>
      <c r="E628" t="s">
        <v>5</v>
      </c>
      <c r="F628" t="s">
        <v>238</v>
      </c>
      <c r="G628" t="s">
        <v>256</v>
      </c>
      <c r="H628">
        <v>4</v>
      </c>
      <c r="I628">
        <v>810.38</v>
      </c>
      <c r="J628">
        <v>3241.52</v>
      </c>
    </row>
    <row r="629" spans="1:10">
      <c r="A629" t="s">
        <v>292</v>
      </c>
      <c r="B629" t="s">
        <v>230</v>
      </c>
      <c r="C629" t="s">
        <v>274</v>
      </c>
      <c r="D629" t="s">
        <v>232</v>
      </c>
      <c r="E629" t="s">
        <v>6</v>
      </c>
      <c r="F629" t="s">
        <v>259</v>
      </c>
      <c r="G629" t="s">
        <v>298</v>
      </c>
      <c r="H629">
        <v>7</v>
      </c>
      <c r="I629">
        <v>698.8</v>
      </c>
      <c r="J629">
        <v>4891.6000000000004</v>
      </c>
    </row>
    <row r="630" spans="1:10">
      <c r="A630" s="26">
        <v>45208</v>
      </c>
      <c r="B630" t="s">
        <v>271</v>
      </c>
      <c r="C630" t="s">
        <v>236</v>
      </c>
      <c r="D630" t="s">
        <v>237</v>
      </c>
      <c r="E630" t="s">
        <v>8</v>
      </c>
      <c r="F630" t="s">
        <v>259</v>
      </c>
      <c r="G630" t="s">
        <v>299</v>
      </c>
      <c r="H630">
        <v>14</v>
      </c>
      <c r="I630">
        <v>2833.44</v>
      </c>
      <c r="J630">
        <v>39668.160000000003</v>
      </c>
    </row>
    <row r="631" spans="1:10">
      <c r="A631" t="s">
        <v>363</v>
      </c>
      <c r="B631" t="s">
        <v>248</v>
      </c>
      <c r="C631" t="s">
        <v>241</v>
      </c>
      <c r="D631" t="s">
        <v>242</v>
      </c>
      <c r="E631" t="s">
        <v>8</v>
      </c>
      <c r="F631" t="s">
        <v>250</v>
      </c>
      <c r="G631" t="s">
        <v>284</v>
      </c>
      <c r="H631">
        <v>20</v>
      </c>
      <c r="I631">
        <v>2409.6799999999998</v>
      </c>
      <c r="J631">
        <v>48193.599999999999</v>
      </c>
    </row>
    <row r="632" spans="1:10">
      <c r="A632" s="26">
        <v>45086</v>
      </c>
      <c r="B632" t="s">
        <v>271</v>
      </c>
      <c r="C632" t="s">
        <v>255</v>
      </c>
      <c r="D632" t="s">
        <v>237</v>
      </c>
      <c r="E632" t="s">
        <v>8</v>
      </c>
      <c r="F632" t="s">
        <v>250</v>
      </c>
      <c r="G632" t="s">
        <v>293</v>
      </c>
      <c r="H632">
        <v>17</v>
      </c>
      <c r="I632">
        <v>2448.5100000000002</v>
      </c>
      <c r="J632">
        <v>41624.67</v>
      </c>
    </row>
    <row r="633" spans="1:10">
      <c r="A633" s="26">
        <v>45207</v>
      </c>
      <c r="B633" t="s">
        <v>280</v>
      </c>
      <c r="C633" t="s">
        <v>255</v>
      </c>
      <c r="D633" t="s">
        <v>237</v>
      </c>
      <c r="E633" t="s">
        <v>8</v>
      </c>
      <c r="F633" t="s">
        <v>245</v>
      </c>
      <c r="G633" t="s">
        <v>266</v>
      </c>
      <c r="H633">
        <v>7</v>
      </c>
      <c r="I633">
        <v>4029.58</v>
      </c>
      <c r="J633">
        <v>28207.06</v>
      </c>
    </row>
    <row r="634" spans="1:10">
      <c r="A634" t="s">
        <v>445</v>
      </c>
      <c r="B634" t="s">
        <v>248</v>
      </c>
      <c r="C634" t="s">
        <v>244</v>
      </c>
      <c r="D634" t="s">
        <v>237</v>
      </c>
      <c r="E634" t="s">
        <v>8</v>
      </c>
      <c r="F634" t="s">
        <v>250</v>
      </c>
      <c r="G634" t="s">
        <v>277</v>
      </c>
      <c r="H634">
        <v>15</v>
      </c>
      <c r="I634">
        <v>3999.29</v>
      </c>
      <c r="J634">
        <v>59989.35</v>
      </c>
    </row>
    <row r="635" spans="1:10">
      <c r="A635" t="s">
        <v>396</v>
      </c>
      <c r="B635" t="s">
        <v>257</v>
      </c>
      <c r="C635" t="s">
        <v>258</v>
      </c>
      <c r="D635" t="s">
        <v>242</v>
      </c>
      <c r="E635" t="s">
        <v>8</v>
      </c>
      <c r="F635" t="s">
        <v>238</v>
      </c>
      <c r="G635" t="s">
        <v>296</v>
      </c>
      <c r="H635">
        <v>17</v>
      </c>
      <c r="I635">
        <v>583.88</v>
      </c>
      <c r="J635">
        <v>9925.9599999999991</v>
      </c>
    </row>
    <row r="636" spans="1:10">
      <c r="A636" s="26">
        <v>44965</v>
      </c>
      <c r="B636" t="s">
        <v>280</v>
      </c>
      <c r="C636" t="s">
        <v>276</v>
      </c>
      <c r="D636" t="s">
        <v>247</v>
      </c>
      <c r="E636" t="s">
        <v>6</v>
      </c>
      <c r="F636" t="s">
        <v>245</v>
      </c>
      <c r="G636" t="s">
        <v>269</v>
      </c>
      <c r="H636">
        <v>7</v>
      </c>
      <c r="I636">
        <v>1319.32</v>
      </c>
      <c r="J636">
        <v>9235.24</v>
      </c>
    </row>
    <row r="637" spans="1:10">
      <c r="A637" t="s">
        <v>387</v>
      </c>
      <c r="B637" t="s">
        <v>254</v>
      </c>
      <c r="C637" t="s">
        <v>231</v>
      </c>
      <c r="D637" t="s">
        <v>232</v>
      </c>
      <c r="E637" t="s">
        <v>6</v>
      </c>
      <c r="F637" t="s">
        <v>233</v>
      </c>
      <c r="G637" t="s">
        <v>304</v>
      </c>
      <c r="H637">
        <v>15</v>
      </c>
      <c r="I637">
        <v>2698.6</v>
      </c>
      <c r="J637">
        <v>40479</v>
      </c>
    </row>
    <row r="638" spans="1:10">
      <c r="A638" t="s">
        <v>330</v>
      </c>
      <c r="B638" t="s">
        <v>240</v>
      </c>
      <c r="C638" t="s">
        <v>241</v>
      </c>
      <c r="D638" t="s">
        <v>242</v>
      </c>
      <c r="E638" t="s">
        <v>8</v>
      </c>
      <c r="F638" t="s">
        <v>238</v>
      </c>
      <c r="G638" t="s">
        <v>296</v>
      </c>
      <c r="H638">
        <v>19</v>
      </c>
      <c r="I638">
        <v>4364.6400000000003</v>
      </c>
      <c r="J638">
        <v>82928.160000000003</v>
      </c>
    </row>
    <row r="639" spans="1:10">
      <c r="A639" t="s">
        <v>413</v>
      </c>
      <c r="B639" t="s">
        <v>268</v>
      </c>
      <c r="C639" t="s">
        <v>244</v>
      </c>
      <c r="D639" t="s">
        <v>237</v>
      </c>
      <c r="E639" t="s">
        <v>8</v>
      </c>
      <c r="F639" t="s">
        <v>233</v>
      </c>
      <c r="G639" t="s">
        <v>287</v>
      </c>
      <c r="H639">
        <v>8</v>
      </c>
      <c r="I639">
        <v>4740.97</v>
      </c>
      <c r="J639">
        <v>37927.760000000002</v>
      </c>
    </row>
    <row r="640" spans="1:10">
      <c r="A640" t="s">
        <v>351</v>
      </c>
      <c r="B640" t="s">
        <v>254</v>
      </c>
      <c r="C640" t="s">
        <v>258</v>
      </c>
      <c r="D640" t="s">
        <v>242</v>
      </c>
      <c r="E640" t="s">
        <v>8</v>
      </c>
      <c r="F640" t="s">
        <v>238</v>
      </c>
      <c r="G640" t="s">
        <v>296</v>
      </c>
      <c r="H640">
        <v>4</v>
      </c>
      <c r="I640">
        <v>917.97</v>
      </c>
      <c r="J640">
        <v>3671.88</v>
      </c>
    </row>
    <row r="641" spans="1:10">
      <c r="A641" s="26">
        <v>45174</v>
      </c>
      <c r="B641" t="s">
        <v>254</v>
      </c>
      <c r="C641" t="s">
        <v>276</v>
      </c>
      <c r="D641" t="s">
        <v>247</v>
      </c>
      <c r="E641" t="s">
        <v>6</v>
      </c>
      <c r="F641" t="s">
        <v>245</v>
      </c>
      <c r="G641" t="s">
        <v>266</v>
      </c>
      <c r="H641">
        <v>10</v>
      </c>
      <c r="I641">
        <v>224.53</v>
      </c>
      <c r="J641">
        <v>2245.3000000000002</v>
      </c>
    </row>
    <row r="642" spans="1:10">
      <c r="A642" t="s">
        <v>464</v>
      </c>
      <c r="B642" t="s">
        <v>235</v>
      </c>
      <c r="C642" t="s">
        <v>313</v>
      </c>
      <c r="D642" t="s">
        <v>252</v>
      </c>
      <c r="E642" t="s">
        <v>5</v>
      </c>
      <c r="F642" t="s">
        <v>238</v>
      </c>
      <c r="G642" t="s">
        <v>296</v>
      </c>
      <c r="H642">
        <v>1</v>
      </c>
      <c r="I642">
        <v>3246.08</v>
      </c>
      <c r="J642">
        <v>3246.08</v>
      </c>
    </row>
    <row r="643" spans="1:10">
      <c r="A643" t="s">
        <v>353</v>
      </c>
      <c r="B643" t="s">
        <v>240</v>
      </c>
      <c r="C643" t="s">
        <v>231</v>
      </c>
      <c r="D643" t="s">
        <v>232</v>
      </c>
      <c r="E643" t="s">
        <v>6</v>
      </c>
      <c r="F643" t="s">
        <v>233</v>
      </c>
      <c r="G643" t="s">
        <v>304</v>
      </c>
      <c r="H643">
        <v>16</v>
      </c>
      <c r="I643">
        <v>1411.33</v>
      </c>
      <c r="J643">
        <v>22581.279999999999</v>
      </c>
    </row>
    <row r="644" spans="1:10">
      <c r="A644" s="26">
        <v>45051</v>
      </c>
      <c r="B644" t="s">
        <v>230</v>
      </c>
      <c r="C644" t="s">
        <v>255</v>
      </c>
      <c r="D644" t="s">
        <v>237</v>
      </c>
      <c r="E644" t="s">
        <v>8</v>
      </c>
      <c r="F644" t="s">
        <v>245</v>
      </c>
      <c r="G644" t="s">
        <v>295</v>
      </c>
      <c r="H644">
        <v>19</v>
      </c>
      <c r="I644">
        <v>2174.06</v>
      </c>
      <c r="J644">
        <v>41307.14</v>
      </c>
    </row>
    <row r="645" spans="1:10">
      <c r="A645" s="26">
        <v>45203</v>
      </c>
      <c r="B645" t="s">
        <v>230</v>
      </c>
      <c r="C645" t="s">
        <v>244</v>
      </c>
      <c r="D645" t="s">
        <v>237</v>
      </c>
      <c r="E645" t="s">
        <v>8</v>
      </c>
      <c r="F645" t="s">
        <v>250</v>
      </c>
      <c r="G645" t="s">
        <v>277</v>
      </c>
      <c r="H645">
        <v>2</v>
      </c>
      <c r="I645">
        <v>1194.4000000000001</v>
      </c>
      <c r="J645">
        <v>2388.8000000000002</v>
      </c>
    </row>
    <row r="646" spans="1:10">
      <c r="A646" t="s">
        <v>461</v>
      </c>
      <c r="B646" t="s">
        <v>271</v>
      </c>
      <c r="C646" t="s">
        <v>276</v>
      </c>
      <c r="D646" t="s">
        <v>247</v>
      </c>
      <c r="E646" t="s">
        <v>6</v>
      </c>
      <c r="F646" t="s">
        <v>245</v>
      </c>
      <c r="G646" t="s">
        <v>266</v>
      </c>
      <c r="H646">
        <v>2</v>
      </c>
      <c r="I646">
        <v>3726.58</v>
      </c>
      <c r="J646">
        <v>7453.16</v>
      </c>
    </row>
    <row r="647" spans="1:10">
      <c r="A647" s="26">
        <v>45144</v>
      </c>
      <c r="B647" t="s">
        <v>257</v>
      </c>
      <c r="C647" t="s">
        <v>255</v>
      </c>
      <c r="D647" t="s">
        <v>237</v>
      </c>
      <c r="E647" t="s">
        <v>8</v>
      </c>
      <c r="F647" t="s">
        <v>233</v>
      </c>
      <c r="G647" t="s">
        <v>301</v>
      </c>
      <c r="H647">
        <v>5</v>
      </c>
      <c r="I647">
        <v>1599.65</v>
      </c>
      <c r="J647">
        <v>7998.25</v>
      </c>
    </row>
    <row r="648" spans="1:10">
      <c r="A648" t="s">
        <v>272</v>
      </c>
      <c r="B648" t="s">
        <v>268</v>
      </c>
      <c r="C648" t="s">
        <v>281</v>
      </c>
      <c r="D648" t="s">
        <v>252</v>
      </c>
      <c r="E648" t="s">
        <v>5</v>
      </c>
      <c r="F648" t="s">
        <v>233</v>
      </c>
      <c r="G648" t="s">
        <v>234</v>
      </c>
      <c r="H648">
        <v>16</v>
      </c>
      <c r="I648">
        <v>1628.19</v>
      </c>
      <c r="J648">
        <v>26051.040000000001</v>
      </c>
    </row>
    <row r="649" spans="1:10">
      <c r="A649" t="s">
        <v>403</v>
      </c>
      <c r="B649" t="s">
        <v>268</v>
      </c>
      <c r="C649" t="s">
        <v>241</v>
      </c>
      <c r="D649" t="s">
        <v>242</v>
      </c>
      <c r="E649" t="s">
        <v>8</v>
      </c>
      <c r="F649" t="s">
        <v>245</v>
      </c>
      <c r="G649" t="s">
        <v>269</v>
      </c>
      <c r="H649">
        <v>17</v>
      </c>
      <c r="I649">
        <v>3381.75</v>
      </c>
      <c r="J649">
        <v>57489.75</v>
      </c>
    </row>
    <row r="650" spans="1:10">
      <c r="A650" t="s">
        <v>325</v>
      </c>
      <c r="B650" t="s">
        <v>235</v>
      </c>
      <c r="C650" t="s">
        <v>258</v>
      </c>
      <c r="D650" t="s">
        <v>242</v>
      </c>
      <c r="E650" t="s">
        <v>8</v>
      </c>
      <c r="F650" t="s">
        <v>238</v>
      </c>
      <c r="G650" t="s">
        <v>239</v>
      </c>
      <c r="H650">
        <v>18</v>
      </c>
      <c r="I650">
        <v>3627.09</v>
      </c>
      <c r="J650">
        <v>65287.62</v>
      </c>
    </row>
    <row r="651" spans="1:10">
      <c r="A651" t="s">
        <v>343</v>
      </c>
      <c r="B651" t="s">
        <v>230</v>
      </c>
      <c r="C651" t="s">
        <v>276</v>
      </c>
      <c r="D651" t="s">
        <v>247</v>
      </c>
      <c r="E651" t="s">
        <v>6</v>
      </c>
      <c r="F651" t="s">
        <v>250</v>
      </c>
      <c r="G651" t="s">
        <v>251</v>
      </c>
      <c r="H651">
        <v>2</v>
      </c>
      <c r="I651">
        <v>3106.64</v>
      </c>
      <c r="J651">
        <v>6213.28</v>
      </c>
    </row>
    <row r="652" spans="1:10">
      <c r="A652" s="26">
        <v>45202</v>
      </c>
      <c r="B652" t="s">
        <v>230</v>
      </c>
      <c r="C652" t="s">
        <v>274</v>
      </c>
      <c r="D652" t="s">
        <v>232</v>
      </c>
      <c r="E652" t="s">
        <v>6</v>
      </c>
      <c r="F652" t="s">
        <v>259</v>
      </c>
      <c r="G652" t="s">
        <v>182</v>
      </c>
      <c r="H652">
        <v>15</v>
      </c>
      <c r="I652">
        <v>4310.01</v>
      </c>
      <c r="J652">
        <v>64650.15</v>
      </c>
    </row>
    <row r="653" spans="1:10">
      <c r="A653" s="26">
        <v>44988</v>
      </c>
      <c r="B653" t="s">
        <v>260</v>
      </c>
      <c r="C653" t="s">
        <v>316</v>
      </c>
      <c r="D653" t="s">
        <v>247</v>
      </c>
      <c r="E653" t="s">
        <v>6</v>
      </c>
      <c r="F653" t="s">
        <v>233</v>
      </c>
      <c r="G653" t="s">
        <v>234</v>
      </c>
      <c r="H653">
        <v>14</v>
      </c>
      <c r="I653">
        <v>3352.19</v>
      </c>
      <c r="J653">
        <v>46930.66</v>
      </c>
    </row>
    <row r="654" spans="1:10">
      <c r="A654" t="s">
        <v>425</v>
      </c>
      <c r="B654" t="s">
        <v>248</v>
      </c>
      <c r="C654" t="s">
        <v>281</v>
      </c>
      <c r="D654" t="s">
        <v>252</v>
      </c>
      <c r="E654" t="s">
        <v>5</v>
      </c>
      <c r="F654" t="s">
        <v>259</v>
      </c>
      <c r="G654" t="s">
        <v>298</v>
      </c>
      <c r="H654">
        <v>18</v>
      </c>
      <c r="I654">
        <v>214.47</v>
      </c>
      <c r="J654">
        <v>3860.46</v>
      </c>
    </row>
    <row r="655" spans="1:10">
      <c r="A655" t="s">
        <v>363</v>
      </c>
      <c r="B655" t="s">
        <v>230</v>
      </c>
      <c r="C655" t="s">
        <v>283</v>
      </c>
      <c r="D655" t="s">
        <v>242</v>
      </c>
      <c r="E655" t="s">
        <v>8</v>
      </c>
      <c r="F655" t="s">
        <v>250</v>
      </c>
      <c r="G655" t="s">
        <v>251</v>
      </c>
      <c r="H655">
        <v>3</v>
      </c>
      <c r="I655">
        <v>1810.87</v>
      </c>
      <c r="J655">
        <v>5432.61</v>
      </c>
    </row>
    <row r="656" spans="1:10">
      <c r="A656" t="s">
        <v>345</v>
      </c>
      <c r="B656" t="s">
        <v>271</v>
      </c>
      <c r="C656" t="s">
        <v>273</v>
      </c>
      <c r="D656" t="s">
        <v>252</v>
      </c>
      <c r="E656" t="s">
        <v>5</v>
      </c>
      <c r="F656" t="s">
        <v>233</v>
      </c>
      <c r="G656" t="s">
        <v>301</v>
      </c>
      <c r="H656">
        <v>3</v>
      </c>
      <c r="I656">
        <v>1105.46</v>
      </c>
      <c r="J656">
        <v>3316.38</v>
      </c>
    </row>
    <row r="657" spans="1:10">
      <c r="A657" t="s">
        <v>463</v>
      </c>
      <c r="B657" t="s">
        <v>280</v>
      </c>
      <c r="C657" t="s">
        <v>249</v>
      </c>
      <c r="D657" t="s">
        <v>232</v>
      </c>
      <c r="E657" t="s">
        <v>6</v>
      </c>
      <c r="F657" t="s">
        <v>250</v>
      </c>
      <c r="G657" t="s">
        <v>277</v>
      </c>
      <c r="H657">
        <v>10</v>
      </c>
      <c r="I657">
        <v>3707.43</v>
      </c>
      <c r="J657">
        <v>37074.300000000003</v>
      </c>
    </row>
    <row r="658" spans="1:10">
      <c r="A658" s="26">
        <v>45209</v>
      </c>
      <c r="B658" t="s">
        <v>268</v>
      </c>
      <c r="C658" t="s">
        <v>244</v>
      </c>
      <c r="D658" t="s">
        <v>237</v>
      </c>
      <c r="E658" t="s">
        <v>8</v>
      </c>
      <c r="F658" t="s">
        <v>259</v>
      </c>
      <c r="G658" t="s">
        <v>298</v>
      </c>
      <c r="H658">
        <v>18</v>
      </c>
      <c r="I658">
        <v>584.4</v>
      </c>
      <c r="J658">
        <v>10519.2</v>
      </c>
    </row>
    <row r="659" spans="1:10">
      <c r="A659" t="s">
        <v>447</v>
      </c>
      <c r="B659" t="s">
        <v>235</v>
      </c>
      <c r="C659" t="s">
        <v>283</v>
      </c>
      <c r="D659" t="s">
        <v>242</v>
      </c>
      <c r="E659" t="s">
        <v>8</v>
      </c>
      <c r="F659" t="s">
        <v>233</v>
      </c>
      <c r="G659" t="s">
        <v>301</v>
      </c>
      <c r="H659">
        <v>1</v>
      </c>
      <c r="I659">
        <v>2498.7399999999998</v>
      </c>
      <c r="J659">
        <v>2498.7399999999998</v>
      </c>
    </row>
    <row r="660" spans="1:10">
      <c r="A660" s="26">
        <v>45110</v>
      </c>
      <c r="B660" t="s">
        <v>254</v>
      </c>
      <c r="C660" t="s">
        <v>241</v>
      </c>
      <c r="D660" t="s">
        <v>242</v>
      </c>
      <c r="E660" t="s">
        <v>8</v>
      </c>
      <c r="F660" t="s">
        <v>259</v>
      </c>
      <c r="G660" t="s">
        <v>298</v>
      </c>
      <c r="H660">
        <v>17</v>
      </c>
      <c r="I660">
        <v>2460.73</v>
      </c>
      <c r="J660">
        <v>41832.410000000003</v>
      </c>
    </row>
    <row r="661" spans="1:10">
      <c r="A661" s="26">
        <v>45261</v>
      </c>
      <c r="B661" t="s">
        <v>271</v>
      </c>
      <c r="C661" t="s">
        <v>231</v>
      </c>
      <c r="D661" t="s">
        <v>232</v>
      </c>
      <c r="E661" t="s">
        <v>6</v>
      </c>
      <c r="F661" t="s">
        <v>233</v>
      </c>
      <c r="G661" t="s">
        <v>234</v>
      </c>
      <c r="H661">
        <v>13</v>
      </c>
      <c r="I661">
        <v>4630.9799999999996</v>
      </c>
      <c r="J661">
        <v>60202.74</v>
      </c>
    </row>
    <row r="662" spans="1:10">
      <c r="A662" s="26">
        <v>45241</v>
      </c>
      <c r="B662" t="s">
        <v>248</v>
      </c>
      <c r="C662" t="s">
        <v>241</v>
      </c>
      <c r="D662" t="s">
        <v>242</v>
      </c>
      <c r="E662" t="s">
        <v>8</v>
      </c>
      <c r="F662" t="s">
        <v>259</v>
      </c>
      <c r="G662" t="s">
        <v>299</v>
      </c>
      <c r="H662">
        <v>3</v>
      </c>
      <c r="I662">
        <v>4324.88</v>
      </c>
      <c r="J662">
        <v>12974.64</v>
      </c>
    </row>
    <row r="663" spans="1:10">
      <c r="A663" s="26">
        <v>45270</v>
      </c>
      <c r="B663" t="s">
        <v>230</v>
      </c>
      <c r="C663" t="s">
        <v>273</v>
      </c>
      <c r="D663" t="s">
        <v>252</v>
      </c>
      <c r="E663" t="s">
        <v>5</v>
      </c>
      <c r="F663" t="s">
        <v>259</v>
      </c>
      <c r="G663" t="s">
        <v>299</v>
      </c>
      <c r="H663">
        <v>20</v>
      </c>
      <c r="I663">
        <v>4049.4</v>
      </c>
      <c r="J663">
        <v>80988</v>
      </c>
    </row>
    <row r="664" spans="1:10">
      <c r="A664" s="26">
        <v>45148</v>
      </c>
      <c r="B664" t="s">
        <v>235</v>
      </c>
      <c r="C664" t="s">
        <v>316</v>
      </c>
      <c r="D664" t="s">
        <v>247</v>
      </c>
      <c r="E664" t="s">
        <v>6</v>
      </c>
      <c r="F664" t="s">
        <v>250</v>
      </c>
      <c r="G664" t="s">
        <v>293</v>
      </c>
      <c r="H664">
        <v>16</v>
      </c>
      <c r="I664">
        <v>2347.21</v>
      </c>
      <c r="J664">
        <v>37555.360000000001</v>
      </c>
    </row>
    <row r="665" spans="1:10">
      <c r="A665" t="s">
        <v>314</v>
      </c>
      <c r="B665" t="s">
        <v>235</v>
      </c>
      <c r="C665" t="s">
        <v>274</v>
      </c>
      <c r="D665" t="s">
        <v>232</v>
      </c>
      <c r="E665" t="s">
        <v>6</v>
      </c>
      <c r="F665" t="s">
        <v>245</v>
      </c>
      <c r="G665" t="s">
        <v>295</v>
      </c>
      <c r="H665">
        <v>2</v>
      </c>
      <c r="I665">
        <v>3743.52</v>
      </c>
      <c r="J665">
        <v>7487.04</v>
      </c>
    </row>
    <row r="666" spans="1:10">
      <c r="A666" t="s">
        <v>333</v>
      </c>
      <c r="B666" t="s">
        <v>240</v>
      </c>
      <c r="C666" t="s">
        <v>258</v>
      </c>
      <c r="D666" t="s">
        <v>242</v>
      </c>
      <c r="E666" t="s">
        <v>8</v>
      </c>
      <c r="F666" t="s">
        <v>250</v>
      </c>
      <c r="G666" t="s">
        <v>284</v>
      </c>
      <c r="H666">
        <v>8</v>
      </c>
      <c r="I666">
        <v>303.48</v>
      </c>
      <c r="J666">
        <v>2427.84</v>
      </c>
    </row>
    <row r="667" spans="1:10">
      <c r="A667" t="s">
        <v>445</v>
      </c>
      <c r="B667" t="s">
        <v>268</v>
      </c>
      <c r="C667" t="s">
        <v>236</v>
      </c>
      <c r="D667" t="s">
        <v>237</v>
      </c>
      <c r="E667" t="s">
        <v>8</v>
      </c>
      <c r="F667" t="s">
        <v>233</v>
      </c>
      <c r="G667" t="s">
        <v>287</v>
      </c>
      <c r="H667">
        <v>7</v>
      </c>
      <c r="I667">
        <v>1373.41</v>
      </c>
      <c r="J667">
        <v>9613.8700000000008</v>
      </c>
    </row>
    <row r="668" spans="1:10">
      <c r="A668" t="s">
        <v>465</v>
      </c>
      <c r="B668" t="s">
        <v>268</v>
      </c>
      <c r="C668" t="s">
        <v>281</v>
      </c>
      <c r="D668" t="s">
        <v>252</v>
      </c>
      <c r="E668" t="s">
        <v>5</v>
      </c>
      <c r="F668" t="s">
        <v>259</v>
      </c>
      <c r="G668" t="s">
        <v>298</v>
      </c>
      <c r="H668">
        <v>10</v>
      </c>
      <c r="I668">
        <v>3048.2</v>
      </c>
      <c r="J668">
        <v>30482</v>
      </c>
    </row>
    <row r="669" spans="1:10">
      <c r="A669" t="s">
        <v>466</v>
      </c>
      <c r="B669" t="s">
        <v>271</v>
      </c>
      <c r="C669" t="s">
        <v>261</v>
      </c>
      <c r="D669" t="s">
        <v>247</v>
      </c>
      <c r="E669" t="s">
        <v>6</v>
      </c>
      <c r="F669" t="s">
        <v>233</v>
      </c>
      <c r="G669" t="s">
        <v>287</v>
      </c>
      <c r="H669">
        <v>20</v>
      </c>
      <c r="I669">
        <v>2818.78</v>
      </c>
      <c r="J669">
        <v>56375.6</v>
      </c>
    </row>
    <row r="670" spans="1:10">
      <c r="A670" s="26">
        <v>45027</v>
      </c>
      <c r="B670" t="s">
        <v>235</v>
      </c>
      <c r="C670" t="s">
        <v>274</v>
      </c>
      <c r="D670" t="s">
        <v>232</v>
      </c>
      <c r="E670" t="s">
        <v>6</v>
      </c>
      <c r="F670" t="s">
        <v>245</v>
      </c>
      <c r="G670" t="s">
        <v>295</v>
      </c>
      <c r="H670">
        <v>1</v>
      </c>
      <c r="I670">
        <v>4647.3</v>
      </c>
      <c r="J670">
        <v>4647.3</v>
      </c>
    </row>
    <row r="671" spans="1:10">
      <c r="A671" s="26">
        <v>45109</v>
      </c>
      <c r="B671" t="s">
        <v>240</v>
      </c>
      <c r="C671" t="s">
        <v>276</v>
      </c>
      <c r="D671" t="s">
        <v>247</v>
      </c>
      <c r="E671" t="s">
        <v>6</v>
      </c>
      <c r="F671" t="s">
        <v>245</v>
      </c>
      <c r="G671" t="s">
        <v>246</v>
      </c>
      <c r="H671">
        <v>20</v>
      </c>
      <c r="I671">
        <v>2302.4699999999998</v>
      </c>
      <c r="J671">
        <v>46049.4</v>
      </c>
    </row>
    <row r="672" spans="1:10">
      <c r="A672" t="s">
        <v>356</v>
      </c>
      <c r="B672" t="s">
        <v>280</v>
      </c>
      <c r="C672" t="s">
        <v>281</v>
      </c>
      <c r="D672" t="s">
        <v>252</v>
      </c>
      <c r="E672" t="s">
        <v>5</v>
      </c>
      <c r="F672" t="s">
        <v>233</v>
      </c>
      <c r="G672" t="s">
        <v>287</v>
      </c>
      <c r="H672">
        <v>17</v>
      </c>
      <c r="I672">
        <v>2805.45</v>
      </c>
      <c r="J672">
        <v>47692.65</v>
      </c>
    </row>
    <row r="673" spans="1:10">
      <c r="A673" t="s">
        <v>467</v>
      </c>
      <c r="B673" t="s">
        <v>280</v>
      </c>
      <c r="C673" t="s">
        <v>236</v>
      </c>
      <c r="D673" t="s">
        <v>237</v>
      </c>
      <c r="E673" t="s">
        <v>8</v>
      </c>
      <c r="F673" t="s">
        <v>259</v>
      </c>
      <c r="G673" t="s">
        <v>182</v>
      </c>
      <c r="H673">
        <v>3</v>
      </c>
      <c r="I673">
        <v>413.26</v>
      </c>
      <c r="J673">
        <v>1239.78</v>
      </c>
    </row>
    <row r="674" spans="1:10">
      <c r="A674" t="s">
        <v>460</v>
      </c>
      <c r="B674" t="s">
        <v>254</v>
      </c>
      <c r="C674" t="s">
        <v>276</v>
      </c>
      <c r="D674" t="s">
        <v>247</v>
      </c>
      <c r="E674" t="s">
        <v>6</v>
      </c>
      <c r="F674" t="s">
        <v>245</v>
      </c>
      <c r="G674" t="s">
        <v>266</v>
      </c>
      <c r="H674">
        <v>17</v>
      </c>
      <c r="I674">
        <v>3203.04</v>
      </c>
      <c r="J674">
        <v>54451.68</v>
      </c>
    </row>
    <row r="675" spans="1:10">
      <c r="A675" t="s">
        <v>467</v>
      </c>
      <c r="B675" t="s">
        <v>257</v>
      </c>
      <c r="C675" t="s">
        <v>261</v>
      </c>
      <c r="D675" t="s">
        <v>247</v>
      </c>
      <c r="E675" t="s">
        <v>6</v>
      </c>
      <c r="F675" t="s">
        <v>245</v>
      </c>
      <c r="G675" t="s">
        <v>246</v>
      </c>
      <c r="H675">
        <v>4</v>
      </c>
      <c r="I675">
        <v>1906.89</v>
      </c>
      <c r="J675">
        <v>7627.56</v>
      </c>
    </row>
    <row r="676" spans="1:10">
      <c r="A676" t="s">
        <v>322</v>
      </c>
      <c r="B676" t="s">
        <v>271</v>
      </c>
      <c r="C676" t="s">
        <v>273</v>
      </c>
      <c r="D676" t="s">
        <v>252</v>
      </c>
      <c r="E676" t="s">
        <v>5</v>
      </c>
      <c r="F676" t="s">
        <v>250</v>
      </c>
      <c r="G676" t="s">
        <v>293</v>
      </c>
      <c r="H676">
        <v>14</v>
      </c>
      <c r="I676">
        <v>3829.68</v>
      </c>
      <c r="J676">
        <v>53615.519999999997</v>
      </c>
    </row>
    <row r="677" spans="1:10">
      <c r="A677" t="s">
        <v>468</v>
      </c>
      <c r="B677" t="s">
        <v>235</v>
      </c>
      <c r="C677" t="s">
        <v>255</v>
      </c>
      <c r="D677" t="s">
        <v>237</v>
      </c>
      <c r="E677" t="s">
        <v>8</v>
      </c>
      <c r="F677" t="s">
        <v>238</v>
      </c>
      <c r="G677" t="s">
        <v>239</v>
      </c>
      <c r="H677">
        <v>19</v>
      </c>
      <c r="I677">
        <v>2636.08</v>
      </c>
      <c r="J677">
        <v>50085.52</v>
      </c>
    </row>
    <row r="678" spans="1:10">
      <c r="A678" s="26">
        <v>45238</v>
      </c>
      <c r="B678" t="s">
        <v>230</v>
      </c>
      <c r="C678" t="s">
        <v>236</v>
      </c>
      <c r="D678" t="s">
        <v>237</v>
      </c>
      <c r="E678" t="s">
        <v>8</v>
      </c>
      <c r="F678" t="s">
        <v>259</v>
      </c>
      <c r="G678" t="s">
        <v>179</v>
      </c>
      <c r="H678">
        <v>13</v>
      </c>
      <c r="I678">
        <v>3994.86</v>
      </c>
      <c r="J678">
        <v>51933.18</v>
      </c>
    </row>
    <row r="679" spans="1:10">
      <c r="A679" t="s">
        <v>229</v>
      </c>
      <c r="B679" t="s">
        <v>254</v>
      </c>
      <c r="C679" t="s">
        <v>261</v>
      </c>
      <c r="D679" t="s">
        <v>247</v>
      </c>
      <c r="E679" t="s">
        <v>6</v>
      </c>
      <c r="F679" t="s">
        <v>238</v>
      </c>
      <c r="G679" t="s">
        <v>256</v>
      </c>
      <c r="H679">
        <v>12</v>
      </c>
      <c r="I679">
        <v>1554.75</v>
      </c>
      <c r="J679">
        <v>18657</v>
      </c>
    </row>
    <row r="680" spans="1:10">
      <c r="A680" s="26">
        <v>45108</v>
      </c>
      <c r="B680" t="s">
        <v>257</v>
      </c>
      <c r="C680" t="s">
        <v>258</v>
      </c>
      <c r="D680" t="s">
        <v>242</v>
      </c>
      <c r="E680" t="s">
        <v>8</v>
      </c>
      <c r="F680" t="s">
        <v>238</v>
      </c>
      <c r="G680" t="s">
        <v>303</v>
      </c>
      <c r="H680">
        <v>9</v>
      </c>
      <c r="I680">
        <v>4674.04</v>
      </c>
      <c r="J680">
        <v>42066.36</v>
      </c>
    </row>
    <row r="681" spans="1:10">
      <c r="A681" s="26">
        <v>45018</v>
      </c>
      <c r="B681" t="s">
        <v>257</v>
      </c>
      <c r="C681" t="s">
        <v>316</v>
      </c>
      <c r="D681" t="s">
        <v>247</v>
      </c>
      <c r="E681" t="s">
        <v>6</v>
      </c>
      <c r="F681" t="s">
        <v>233</v>
      </c>
      <c r="G681" t="s">
        <v>234</v>
      </c>
      <c r="H681">
        <v>2</v>
      </c>
      <c r="I681">
        <v>1252.3</v>
      </c>
      <c r="J681">
        <v>2504.6</v>
      </c>
    </row>
    <row r="682" spans="1:10">
      <c r="A682" t="s">
        <v>469</v>
      </c>
      <c r="B682" t="s">
        <v>248</v>
      </c>
      <c r="C682" t="s">
        <v>283</v>
      </c>
      <c r="D682" t="s">
        <v>242</v>
      </c>
      <c r="E682" t="s">
        <v>8</v>
      </c>
      <c r="F682" t="s">
        <v>238</v>
      </c>
      <c r="G682" t="s">
        <v>256</v>
      </c>
      <c r="H682">
        <v>15</v>
      </c>
      <c r="I682">
        <v>1738.86</v>
      </c>
      <c r="J682">
        <v>26082.9</v>
      </c>
    </row>
    <row r="683" spans="1:10">
      <c r="A683" t="s">
        <v>325</v>
      </c>
      <c r="B683" t="s">
        <v>235</v>
      </c>
      <c r="C683" t="s">
        <v>276</v>
      </c>
      <c r="D683" t="s">
        <v>247</v>
      </c>
      <c r="E683" t="s">
        <v>6</v>
      </c>
      <c r="F683" t="s">
        <v>245</v>
      </c>
      <c r="G683" t="s">
        <v>266</v>
      </c>
      <c r="H683">
        <v>4</v>
      </c>
      <c r="I683">
        <v>2527.15</v>
      </c>
      <c r="J683">
        <v>10108.6</v>
      </c>
    </row>
    <row r="684" spans="1:10">
      <c r="A684" s="26">
        <v>44928</v>
      </c>
      <c r="B684" t="s">
        <v>248</v>
      </c>
      <c r="C684" t="s">
        <v>261</v>
      </c>
      <c r="D684" t="s">
        <v>247</v>
      </c>
      <c r="E684" t="s">
        <v>6</v>
      </c>
      <c r="F684" t="s">
        <v>245</v>
      </c>
      <c r="G684" t="s">
        <v>246</v>
      </c>
      <c r="H684">
        <v>17</v>
      </c>
      <c r="I684">
        <v>4247.5600000000004</v>
      </c>
      <c r="J684">
        <v>72208.52</v>
      </c>
    </row>
    <row r="685" spans="1:10">
      <c r="A685" t="s">
        <v>377</v>
      </c>
      <c r="B685" t="s">
        <v>271</v>
      </c>
      <c r="C685" t="s">
        <v>255</v>
      </c>
      <c r="D685" t="s">
        <v>237</v>
      </c>
      <c r="E685" t="s">
        <v>8</v>
      </c>
      <c r="F685" t="s">
        <v>250</v>
      </c>
      <c r="G685" t="s">
        <v>251</v>
      </c>
      <c r="H685">
        <v>8</v>
      </c>
      <c r="I685">
        <v>978.4</v>
      </c>
      <c r="J685">
        <v>7827.2</v>
      </c>
    </row>
    <row r="686" spans="1:10">
      <c r="A686" s="26">
        <v>44993</v>
      </c>
      <c r="B686" t="s">
        <v>271</v>
      </c>
      <c r="C686" t="s">
        <v>316</v>
      </c>
      <c r="D686" t="s">
        <v>247</v>
      </c>
      <c r="E686" t="s">
        <v>6</v>
      </c>
      <c r="F686" t="s">
        <v>233</v>
      </c>
      <c r="G686" t="s">
        <v>301</v>
      </c>
      <c r="H686">
        <v>5</v>
      </c>
      <c r="I686">
        <v>1530.16</v>
      </c>
      <c r="J686">
        <v>7650.8</v>
      </c>
    </row>
    <row r="687" spans="1:10">
      <c r="A687" s="26">
        <v>45048</v>
      </c>
      <c r="B687" t="s">
        <v>280</v>
      </c>
      <c r="C687" t="s">
        <v>236</v>
      </c>
      <c r="D687" t="s">
        <v>237</v>
      </c>
      <c r="E687" t="s">
        <v>8</v>
      </c>
      <c r="F687" t="s">
        <v>233</v>
      </c>
      <c r="G687" t="s">
        <v>301</v>
      </c>
      <c r="H687">
        <v>15</v>
      </c>
      <c r="I687">
        <v>4748.62</v>
      </c>
      <c r="J687">
        <v>71229.3</v>
      </c>
    </row>
    <row r="688" spans="1:10">
      <c r="A688" t="s">
        <v>457</v>
      </c>
      <c r="B688" t="s">
        <v>271</v>
      </c>
      <c r="C688" t="s">
        <v>241</v>
      </c>
      <c r="D688" t="s">
        <v>242</v>
      </c>
      <c r="E688" t="s">
        <v>8</v>
      </c>
      <c r="F688" t="s">
        <v>233</v>
      </c>
      <c r="G688" t="s">
        <v>234</v>
      </c>
      <c r="H688">
        <v>5</v>
      </c>
      <c r="I688">
        <v>4402.72</v>
      </c>
      <c r="J688">
        <v>22013.599999999999</v>
      </c>
    </row>
    <row r="689" spans="1:10">
      <c r="A689" s="26">
        <v>45206</v>
      </c>
      <c r="B689" t="s">
        <v>230</v>
      </c>
      <c r="C689" t="s">
        <v>249</v>
      </c>
      <c r="D689" t="s">
        <v>232</v>
      </c>
      <c r="E689" t="s">
        <v>6</v>
      </c>
      <c r="F689" t="s">
        <v>245</v>
      </c>
      <c r="G689" t="s">
        <v>246</v>
      </c>
      <c r="H689">
        <v>16</v>
      </c>
      <c r="I689">
        <v>3858.12</v>
      </c>
      <c r="J689">
        <v>61729.919999999998</v>
      </c>
    </row>
    <row r="690" spans="1:10">
      <c r="A690" t="s">
        <v>345</v>
      </c>
      <c r="B690" t="s">
        <v>240</v>
      </c>
      <c r="C690" t="s">
        <v>316</v>
      </c>
      <c r="D690" t="s">
        <v>247</v>
      </c>
      <c r="E690" t="s">
        <v>6</v>
      </c>
      <c r="F690" t="s">
        <v>250</v>
      </c>
      <c r="G690" t="s">
        <v>277</v>
      </c>
      <c r="H690">
        <v>10</v>
      </c>
      <c r="I690">
        <v>4939.99</v>
      </c>
      <c r="J690">
        <v>49399.9</v>
      </c>
    </row>
    <row r="691" spans="1:10">
      <c r="A691" t="s">
        <v>289</v>
      </c>
      <c r="B691" t="s">
        <v>230</v>
      </c>
      <c r="C691" t="s">
        <v>236</v>
      </c>
      <c r="D691" t="s">
        <v>237</v>
      </c>
      <c r="E691" t="s">
        <v>8</v>
      </c>
      <c r="F691" t="s">
        <v>233</v>
      </c>
      <c r="G691" t="s">
        <v>304</v>
      </c>
      <c r="H691">
        <v>8</v>
      </c>
      <c r="I691">
        <v>2394.87</v>
      </c>
      <c r="J691">
        <v>19158.96</v>
      </c>
    </row>
    <row r="692" spans="1:10">
      <c r="A692" t="s">
        <v>389</v>
      </c>
      <c r="B692" t="s">
        <v>235</v>
      </c>
      <c r="C692" t="s">
        <v>316</v>
      </c>
      <c r="D692" t="s">
        <v>247</v>
      </c>
      <c r="E692" t="s">
        <v>6</v>
      </c>
      <c r="F692" t="s">
        <v>245</v>
      </c>
      <c r="G692" t="s">
        <v>295</v>
      </c>
      <c r="H692">
        <v>11</v>
      </c>
      <c r="I692">
        <v>3277.74</v>
      </c>
      <c r="J692">
        <v>36055.14</v>
      </c>
    </row>
    <row r="693" spans="1:10">
      <c r="A693" t="s">
        <v>341</v>
      </c>
      <c r="B693" t="s">
        <v>254</v>
      </c>
      <c r="C693" t="s">
        <v>241</v>
      </c>
      <c r="D693" t="s">
        <v>242</v>
      </c>
      <c r="E693" t="s">
        <v>8</v>
      </c>
      <c r="F693" t="s">
        <v>233</v>
      </c>
      <c r="G693" t="s">
        <v>304</v>
      </c>
      <c r="H693">
        <v>5</v>
      </c>
      <c r="I693">
        <v>2411.33</v>
      </c>
      <c r="J693">
        <v>12056.65</v>
      </c>
    </row>
    <row r="694" spans="1:10">
      <c r="A694" t="s">
        <v>305</v>
      </c>
      <c r="B694" t="s">
        <v>240</v>
      </c>
      <c r="C694" t="s">
        <v>261</v>
      </c>
      <c r="D694" t="s">
        <v>247</v>
      </c>
      <c r="E694" t="s">
        <v>6</v>
      </c>
      <c r="F694" t="s">
        <v>238</v>
      </c>
      <c r="G694" t="s">
        <v>296</v>
      </c>
      <c r="H694">
        <v>17</v>
      </c>
      <c r="I694">
        <v>3844.7</v>
      </c>
      <c r="J694">
        <v>65359.9</v>
      </c>
    </row>
    <row r="695" spans="1:10">
      <c r="A695" t="s">
        <v>371</v>
      </c>
      <c r="B695" t="s">
        <v>271</v>
      </c>
      <c r="C695" t="s">
        <v>236</v>
      </c>
      <c r="D695" t="s">
        <v>237</v>
      </c>
      <c r="E695" t="s">
        <v>8</v>
      </c>
      <c r="F695" t="s">
        <v>245</v>
      </c>
      <c r="G695" t="s">
        <v>269</v>
      </c>
      <c r="H695">
        <v>14</v>
      </c>
      <c r="I695">
        <v>816.99</v>
      </c>
      <c r="J695">
        <v>11437.86</v>
      </c>
    </row>
    <row r="696" spans="1:10">
      <c r="A696" t="s">
        <v>448</v>
      </c>
      <c r="B696" t="s">
        <v>260</v>
      </c>
      <c r="C696" t="s">
        <v>255</v>
      </c>
      <c r="D696" t="s">
        <v>237</v>
      </c>
      <c r="E696" t="s">
        <v>8</v>
      </c>
      <c r="F696" t="s">
        <v>259</v>
      </c>
      <c r="G696" t="s">
        <v>299</v>
      </c>
      <c r="H696">
        <v>3</v>
      </c>
      <c r="I696">
        <v>3102.92</v>
      </c>
      <c r="J696">
        <v>9308.76</v>
      </c>
    </row>
    <row r="697" spans="1:10">
      <c r="A697" t="s">
        <v>382</v>
      </c>
      <c r="B697" t="s">
        <v>248</v>
      </c>
      <c r="C697" t="s">
        <v>261</v>
      </c>
      <c r="D697" t="s">
        <v>247</v>
      </c>
      <c r="E697" t="s">
        <v>6</v>
      </c>
      <c r="F697" t="s">
        <v>259</v>
      </c>
      <c r="G697" t="s">
        <v>182</v>
      </c>
      <c r="H697">
        <v>11</v>
      </c>
      <c r="I697">
        <v>490.34</v>
      </c>
      <c r="J697">
        <v>5393.74</v>
      </c>
    </row>
    <row r="698" spans="1:10">
      <c r="A698" t="s">
        <v>411</v>
      </c>
      <c r="B698" t="s">
        <v>257</v>
      </c>
      <c r="C698" t="s">
        <v>274</v>
      </c>
      <c r="D698" t="s">
        <v>232</v>
      </c>
      <c r="E698" t="s">
        <v>6</v>
      </c>
      <c r="F698" t="s">
        <v>245</v>
      </c>
      <c r="G698" t="s">
        <v>269</v>
      </c>
      <c r="H698">
        <v>6</v>
      </c>
      <c r="I698">
        <v>4079.26</v>
      </c>
      <c r="J698">
        <v>24475.56</v>
      </c>
    </row>
    <row r="699" spans="1:10">
      <c r="A699" s="26">
        <v>44988</v>
      </c>
      <c r="B699" t="s">
        <v>230</v>
      </c>
      <c r="C699" t="s">
        <v>313</v>
      </c>
      <c r="D699" t="s">
        <v>252</v>
      </c>
      <c r="E699" t="s">
        <v>5</v>
      </c>
      <c r="F699" t="s">
        <v>233</v>
      </c>
      <c r="G699" t="s">
        <v>304</v>
      </c>
      <c r="H699">
        <v>12</v>
      </c>
      <c r="I699">
        <v>3229.61</v>
      </c>
      <c r="J699">
        <v>38755.32</v>
      </c>
    </row>
    <row r="700" spans="1:10">
      <c r="A700" s="26">
        <v>45179</v>
      </c>
      <c r="B700" t="s">
        <v>254</v>
      </c>
      <c r="C700" t="s">
        <v>244</v>
      </c>
      <c r="D700" t="s">
        <v>237</v>
      </c>
      <c r="E700" t="s">
        <v>8</v>
      </c>
      <c r="F700" t="s">
        <v>238</v>
      </c>
      <c r="G700" t="s">
        <v>296</v>
      </c>
      <c r="H700">
        <v>16</v>
      </c>
      <c r="I700">
        <v>1873.12</v>
      </c>
      <c r="J700">
        <v>29969.919999999998</v>
      </c>
    </row>
    <row r="701" spans="1:10">
      <c r="A701" s="26">
        <v>45233</v>
      </c>
      <c r="B701" t="s">
        <v>248</v>
      </c>
      <c r="C701" t="s">
        <v>249</v>
      </c>
      <c r="D701" t="s">
        <v>232</v>
      </c>
      <c r="E701" t="s">
        <v>6</v>
      </c>
      <c r="F701" t="s">
        <v>250</v>
      </c>
      <c r="G701" t="s">
        <v>284</v>
      </c>
      <c r="H701">
        <v>7</v>
      </c>
      <c r="I701">
        <v>1640.58</v>
      </c>
      <c r="J701">
        <v>11484.06</v>
      </c>
    </row>
    <row r="702" spans="1:10">
      <c r="A702" t="s">
        <v>386</v>
      </c>
      <c r="B702" t="s">
        <v>230</v>
      </c>
      <c r="C702" t="s">
        <v>231</v>
      </c>
      <c r="D702" t="s">
        <v>232</v>
      </c>
      <c r="E702" t="s">
        <v>6</v>
      </c>
      <c r="F702" t="s">
        <v>259</v>
      </c>
      <c r="G702" t="s">
        <v>182</v>
      </c>
      <c r="H702">
        <v>13</v>
      </c>
      <c r="I702">
        <v>4843.21</v>
      </c>
      <c r="J702">
        <v>62961.73</v>
      </c>
    </row>
    <row r="703" spans="1:10">
      <c r="A703" t="s">
        <v>325</v>
      </c>
      <c r="B703" t="s">
        <v>280</v>
      </c>
      <c r="C703" t="s">
        <v>273</v>
      </c>
      <c r="D703" t="s">
        <v>252</v>
      </c>
      <c r="E703" t="s">
        <v>5</v>
      </c>
      <c r="F703" t="s">
        <v>238</v>
      </c>
      <c r="G703" t="s">
        <v>239</v>
      </c>
      <c r="H703">
        <v>13</v>
      </c>
      <c r="I703">
        <v>1782.01</v>
      </c>
      <c r="J703">
        <v>23166.13</v>
      </c>
    </row>
    <row r="704" spans="1:10">
      <c r="A704" t="s">
        <v>371</v>
      </c>
      <c r="B704" t="s">
        <v>280</v>
      </c>
      <c r="C704" t="s">
        <v>258</v>
      </c>
      <c r="D704" t="s">
        <v>242</v>
      </c>
      <c r="E704" t="s">
        <v>8</v>
      </c>
      <c r="F704" t="s">
        <v>250</v>
      </c>
      <c r="G704" t="s">
        <v>284</v>
      </c>
      <c r="H704">
        <v>19</v>
      </c>
      <c r="I704">
        <v>1120.5999999999999</v>
      </c>
      <c r="J704">
        <v>21291.4</v>
      </c>
    </row>
    <row r="705" spans="1:10">
      <c r="A705" t="s">
        <v>275</v>
      </c>
      <c r="B705" t="s">
        <v>260</v>
      </c>
      <c r="C705" t="s">
        <v>241</v>
      </c>
      <c r="D705" t="s">
        <v>242</v>
      </c>
      <c r="E705" t="s">
        <v>8</v>
      </c>
      <c r="F705" t="s">
        <v>233</v>
      </c>
      <c r="G705" t="s">
        <v>287</v>
      </c>
      <c r="H705">
        <v>2</v>
      </c>
      <c r="I705">
        <v>1927.02</v>
      </c>
      <c r="J705">
        <v>3854.04</v>
      </c>
    </row>
    <row r="706" spans="1:10">
      <c r="A706" t="s">
        <v>388</v>
      </c>
      <c r="B706" t="s">
        <v>248</v>
      </c>
      <c r="C706" t="s">
        <v>249</v>
      </c>
      <c r="D706" t="s">
        <v>232</v>
      </c>
      <c r="E706" t="s">
        <v>6</v>
      </c>
      <c r="F706" t="s">
        <v>233</v>
      </c>
      <c r="G706" t="s">
        <v>301</v>
      </c>
      <c r="H706">
        <v>15</v>
      </c>
      <c r="I706">
        <v>4642.6899999999996</v>
      </c>
      <c r="J706">
        <v>69640.350000000006</v>
      </c>
    </row>
    <row r="707" spans="1:10">
      <c r="A707" t="s">
        <v>470</v>
      </c>
      <c r="B707" t="s">
        <v>248</v>
      </c>
      <c r="C707" t="s">
        <v>249</v>
      </c>
      <c r="D707" t="s">
        <v>232</v>
      </c>
      <c r="E707" t="s">
        <v>6</v>
      </c>
      <c r="F707" t="s">
        <v>238</v>
      </c>
      <c r="G707" t="s">
        <v>239</v>
      </c>
      <c r="H707">
        <v>19</v>
      </c>
      <c r="I707">
        <v>3316.87</v>
      </c>
      <c r="J707">
        <v>63020.53</v>
      </c>
    </row>
    <row r="708" spans="1:10">
      <c r="A708" s="26">
        <v>45024</v>
      </c>
      <c r="B708" t="s">
        <v>235</v>
      </c>
      <c r="C708" t="s">
        <v>276</v>
      </c>
      <c r="D708" t="s">
        <v>247</v>
      </c>
      <c r="E708" t="s">
        <v>6</v>
      </c>
      <c r="F708" t="s">
        <v>238</v>
      </c>
      <c r="G708" t="s">
        <v>303</v>
      </c>
      <c r="H708">
        <v>19</v>
      </c>
      <c r="I708">
        <v>1372.28</v>
      </c>
      <c r="J708">
        <v>26073.32</v>
      </c>
    </row>
    <row r="709" spans="1:10">
      <c r="A709" s="26">
        <v>45078</v>
      </c>
      <c r="B709" t="s">
        <v>248</v>
      </c>
      <c r="C709" t="s">
        <v>241</v>
      </c>
      <c r="D709" t="s">
        <v>242</v>
      </c>
      <c r="E709" t="s">
        <v>8</v>
      </c>
      <c r="F709" t="s">
        <v>238</v>
      </c>
      <c r="G709" t="s">
        <v>303</v>
      </c>
      <c r="H709">
        <v>8</v>
      </c>
      <c r="I709">
        <v>4786.4799999999996</v>
      </c>
      <c r="J709">
        <v>38291.839999999997</v>
      </c>
    </row>
    <row r="710" spans="1:10">
      <c r="A710" t="s">
        <v>345</v>
      </c>
      <c r="B710" t="s">
        <v>240</v>
      </c>
      <c r="C710" t="s">
        <v>255</v>
      </c>
      <c r="D710" t="s">
        <v>237</v>
      </c>
      <c r="E710" t="s">
        <v>8</v>
      </c>
      <c r="F710" t="s">
        <v>233</v>
      </c>
      <c r="G710" t="s">
        <v>301</v>
      </c>
      <c r="H710">
        <v>18</v>
      </c>
      <c r="I710">
        <v>620.92999999999995</v>
      </c>
      <c r="J710">
        <v>11176.74</v>
      </c>
    </row>
    <row r="711" spans="1:10">
      <c r="A711" t="s">
        <v>243</v>
      </c>
      <c r="B711" t="s">
        <v>280</v>
      </c>
      <c r="C711" t="s">
        <v>255</v>
      </c>
      <c r="D711" t="s">
        <v>237</v>
      </c>
      <c r="E711" t="s">
        <v>8</v>
      </c>
      <c r="F711" t="s">
        <v>259</v>
      </c>
      <c r="G711" t="s">
        <v>299</v>
      </c>
      <c r="H711">
        <v>4</v>
      </c>
      <c r="I711">
        <v>1241.21</v>
      </c>
      <c r="J711">
        <v>4964.84</v>
      </c>
    </row>
    <row r="712" spans="1:10">
      <c r="A712" t="s">
        <v>415</v>
      </c>
      <c r="B712" t="s">
        <v>230</v>
      </c>
      <c r="C712" t="s">
        <v>274</v>
      </c>
      <c r="D712" t="s">
        <v>232</v>
      </c>
      <c r="E712" t="s">
        <v>6</v>
      </c>
      <c r="F712" t="s">
        <v>259</v>
      </c>
      <c r="G712" t="s">
        <v>299</v>
      </c>
      <c r="H712">
        <v>10</v>
      </c>
      <c r="I712">
        <v>1823.34</v>
      </c>
      <c r="J712">
        <v>18233.400000000001</v>
      </c>
    </row>
    <row r="713" spans="1:10">
      <c r="A713" s="26">
        <v>45146</v>
      </c>
      <c r="B713" t="s">
        <v>271</v>
      </c>
      <c r="C713" t="s">
        <v>274</v>
      </c>
      <c r="D713" t="s">
        <v>232</v>
      </c>
      <c r="E713" t="s">
        <v>6</v>
      </c>
      <c r="F713" t="s">
        <v>245</v>
      </c>
      <c r="G713" t="s">
        <v>266</v>
      </c>
      <c r="H713">
        <v>10</v>
      </c>
      <c r="I713">
        <v>4304.71</v>
      </c>
      <c r="J713">
        <v>43047.1</v>
      </c>
    </row>
    <row r="714" spans="1:10">
      <c r="A714" t="s">
        <v>471</v>
      </c>
      <c r="B714" t="s">
        <v>280</v>
      </c>
      <c r="C714" t="s">
        <v>236</v>
      </c>
      <c r="D714" t="s">
        <v>237</v>
      </c>
      <c r="E714" t="s">
        <v>8</v>
      </c>
      <c r="F714" t="s">
        <v>250</v>
      </c>
      <c r="G714" t="s">
        <v>284</v>
      </c>
      <c r="H714">
        <v>11</v>
      </c>
      <c r="I714">
        <v>4446.37</v>
      </c>
      <c r="J714">
        <v>48910.07</v>
      </c>
    </row>
    <row r="715" spans="1:10">
      <c r="A715" t="s">
        <v>362</v>
      </c>
      <c r="B715" t="s">
        <v>240</v>
      </c>
      <c r="C715" t="s">
        <v>249</v>
      </c>
      <c r="D715" t="s">
        <v>232</v>
      </c>
      <c r="E715" t="s">
        <v>6</v>
      </c>
      <c r="F715" t="s">
        <v>250</v>
      </c>
      <c r="G715" t="s">
        <v>251</v>
      </c>
      <c r="H715">
        <v>8</v>
      </c>
      <c r="I715">
        <v>465.32</v>
      </c>
      <c r="J715">
        <v>3722.56</v>
      </c>
    </row>
    <row r="716" spans="1:10">
      <c r="A716" t="s">
        <v>333</v>
      </c>
      <c r="B716" t="s">
        <v>257</v>
      </c>
      <c r="C716" t="s">
        <v>244</v>
      </c>
      <c r="D716" t="s">
        <v>237</v>
      </c>
      <c r="E716" t="s">
        <v>8</v>
      </c>
      <c r="F716" t="s">
        <v>238</v>
      </c>
      <c r="G716" t="s">
        <v>296</v>
      </c>
      <c r="H716">
        <v>1</v>
      </c>
      <c r="I716">
        <v>3431.7</v>
      </c>
      <c r="J716">
        <v>3431.7</v>
      </c>
    </row>
    <row r="717" spans="1:10">
      <c r="A717" t="s">
        <v>472</v>
      </c>
      <c r="B717" t="s">
        <v>248</v>
      </c>
      <c r="C717" t="s">
        <v>249</v>
      </c>
      <c r="D717" t="s">
        <v>232</v>
      </c>
      <c r="E717" t="s">
        <v>6</v>
      </c>
      <c r="F717" t="s">
        <v>233</v>
      </c>
      <c r="G717" t="s">
        <v>301</v>
      </c>
      <c r="H717">
        <v>20</v>
      </c>
      <c r="I717">
        <v>1365.33</v>
      </c>
      <c r="J717">
        <v>27306.6</v>
      </c>
    </row>
    <row r="718" spans="1:10">
      <c r="A718" t="s">
        <v>434</v>
      </c>
      <c r="B718" t="s">
        <v>240</v>
      </c>
      <c r="C718" t="s">
        <v>236</v>
      </c>
      <c r="D718" t="s">
        <v>237</v>
      </c>
      <c r="E718" t="s">
        <v>8</v>
      </c>
      <c r="F718" t="s">
        <v>259</v>
      </c>
      <c r="G718" t="s">
        <v>179</v>
      </c>
      <c r="H718">
        <v>14</v>
      </c>
      <c r="I718">
        <v>2343.4</v>
      </c>
      <c r="J718">
        <v>32807.599999999999</v>
      </c>
    </row>
    <row r="719" spans="1:10">
      <c r="A719" s="26">
        <v>45078</v>
      </c>
      <c r="B719" t="s">
        <v>268</v>
      </c>
      <c r="C719" t="s">
        <v>261</v>
      </c>
      <c r="D719" t="s">
        <v>247</v>
      </c>
      <c r="E719" t="s">
        <v>6</v>
      </c>
      <c r="F719" t="s">
        <v>259</v>
      </c>
      <c r="G719" t="s">
        <v>182</v>
      </c>
      <c r="H719">
        <v>15</v>
      </c>
      <c r="I719">
        <v>447.71</v>
      </c>
      <c r="J719">
        <v>6715.65</v>
      </c>
    </row>
    <row r="720" spans="1:10">
      <c r="A720" s="26">
        <v>45047</v>
      </c>
      <c r="B720" t="s">
        <v>268</v>
      </c>
      <c r="C720" t="s">
        <v>316</v>
      </c>
      <c r="D720" t="s">
        <v>247</v>
      </c>
      <c r="E720" t="s">
        <v>6</v>
      </c>
      <c r="F720" t="s">
        <v>250</v>
      </c>
      <c r="G720" t="s">
        <v>293</v>
      </c>
      <c r="H720">
        <v>3</v>
      </c>
      <c r="I720">
        <v>2393.7199999999998</v>
      </c>
      <c r="J720">
        <v>7181.16</v>
      </c>
    </row>
    <row r="721" spans="1:10">
      <c r="A721" t="s">
        <v>389</v>
      </c>
      <c r="B721" t="s">
        <v>280</v>
      </c>
      <c r="C721" t="s">
        <v>273</v>
      </c>
      <c r="D721" t="s">
        <v>252</v>
      </c>
      <c r="E721" t="s">
        <v>5</v>
      </c>
      <c r="F721" t="s">
        <v>245</v>
      </c>
      <c r="G721" t="s">
        <v>266</v>
      </c>
      <c r="H721">
        <v>20</v>
      </c>
      <c r="I721">
        <v>138.6</v>
      </c>
      <c r="J721">
        <v>2772</v>
      </c>
    </row>
    <row r="722" spans="1:10">
      <c r="A722" t="s">
        <v>408</v>
      </c>
      <c r="B722" t="s">
        <v>260</v>
      </c>
      <c r="C722" t="s">
        <v>249</v>
      </c>
      <c r="D722" t="s">
        <v>232</v>
      </c>
      <c r="E722" t="s">
        <v>6</v>
      </c>
      <c r="F722" t="s">
        <v>250</v>
      </c>
      <c r="G722" t="s">
        <v>251</v>
      </c>
      <c r="H722">
        <v>6</v>
      </c>
      <c r="I722">
        <v>3119.62</v>
      </c>
      <c r="J722">
        <v>18717.72</v>
      </c>
    </row>
    <row r="723" spans="1:10">
      <c r="A723" t="s">
        <v>433</v>
      </c>
      <c r="B723" t="s">
        <v>254</v>
      </c>
      <c r="C723" t="s">
        <v>255</v>
      </c>
      <c r="D723" t="s">
        <v>237</v>
      </c>
      <c r="E723" t="s">
        <v>8</v>
      </c>
      <c r="F723" t="s">
        <v>259</v>
      </c>
      <c r="G723" t="s">
        <v>299</v>
      </c>
      <c r="H723">
        <v>1</v>
      </c>
      <c r="I723">
        <v>4175.7</v>
      </c>
      <c r="J723">
        <v>4175.7</v>
      </c>
    </row>
    <row r="724" spans="1:10">
      <c r="A724" t="s">
        <v>253</v>
      </c>
      <c r="B724" t="s">
        <v>271</v>
      </c>
      <c r="C724" t="s">
        <v>281</v>
      </c>
      <c r="D724" t="s">
        <v>252</v>
      </c>
      <c r="E724" t="s">
        <v>5</v>
      </c>
      <c r="F724" t="s">
        <v>238</v>
      </c>
      <c r="G724" t="s">
        <v>296</v>
      </c>
      <c r="H724">
        <v>17</v>
      </c>
      <c r="I724">
        <v>2655.23</v>
      </c>
      <c r="J724">
        <v>45138.91</v>
      </c>
    </row>
    <row r="725" spans="1:10">
      <c r="A725" s="26">
        <v>44967</v>
      </c>
      <c r="B725" t="s">
        <v>268</v>
      </c>
      <c r="C725" t="s">
        <v>313</v>
      </c>
      <c r="D725" t="s">
        <v>252</v>
      </c>
      <c r="E725" t="s">
        <v>5</v>
      </c>
      <c r="F725" t="s">
        <v>250</v>
      </c>
      <c r="G725" t="s">
        <v>293</v>
      </c>
      <c r="H725">
        <v>14</v>
      </c>
      <c r="I725">
        <v>4235.22</v>
      </c>
      <c r="J725">
        <v>59293.08</v>
      </c>
    </row>
    <row r="726" spans="1:10">
      <c r="A726" t="s">
        <v>410</v>
      </c>
      <c r="B726" t="s">
        <v>230</v>
      </c>
      <c r="C726" t="s">
        <v>273</v>
      </c>
      <c r="D726" t="s">
        <v>252</v>
      </c>
      <c r="E726" t="s">
        <v>5</v>
      </c>
      <c r="F726" t="s">
        <v>238</v>
      </c>
      <c r="G726" t="s">
        <v>296</v>
      </c>
      <c r="H726">
        <v>20</v>
      </c>
      <c r="I726">
        <v>3393.01</v>
      </c>
      <c r="J726">
        <v>67860.2</v>
      </c>
    </row>
    <row r="727" spans="1:10">
      <c r="A727" s="26">
        <v>44961</v>
      </c>
      <c r="B727" t="s">
        <v>268</v>
      </c>
      <c r="C727" t="s">
        <v>258</v>
      </c>
      <c r="D727" t="s">
        <v>242</v>
      </c>
      <c r="E727" t="s">
        <v>8</v>
      </c>
      <c r="F727" t="s">
        <v>259</v>
      </c>
      <c r="G727" t="s">
        <v>179</v>
      </c>
      <c r="H727">
        <v>14</v>
      </c>
      <c r="I727">
        <v>1247.48</v>
      </c>
      <c r="J727">
        <v>17464.72</v>
      </c>
    </row>
    <row r="728" spans="1:10">
      <c r="A728" s="26">
        <v>45054</v>
      </c>
      <c r="B728" t="s">
        <v>271</v>
      </c>
      <c r="C728" t="s">
        <v>261</v>
      </c>
      <c r="D728" t="s">
        <v>247</v>
      </c>
      <c r="E728" t="s">
        <v>6</v>
      </c>
      <c r="F728" t="s">
        <v>245</v>
      </c>
      <c r="G728" t="s">
        <v>246</v>
      </c>
      <c r="H728">
        <v>20</v>
      </c>
      <c r="I728">
        <v>4428.59</v>
      </c>
      <c r="J728">
        <v>88571.8</v>
      </c>
    </row>
    <row r="729" spans="1:10">
      <c r="A729" s="26">
        <v>45058</v>
      </c>
      <c r="B729" t="s">
        <v>254</v>
      </c>
      <c r="C729" t="s">
        <v>255</v>
      </c>
      <c r="D729" t="s">
        <v>237</v>
      </c>
      <c r="E729" t="s">
        <v>8</v>
      </c>
      <c r="F729" t="s">
        <v>238</v>
      </c>
      <c r="G729" t="s">
        <v>239</v>
      </c>
      <c r="H729">
        <v>9</v>
      </c>
      <c r="I729">
        <v>2251.19</v>
      </c>
      <c r="J729">
        <v>20260.71</v>
      </c>
    </row>
    <row r="730" spans="1:10">
      <c r="A730" t="s">
        <v>473</v>
      </c>
      <c r="B730" t="s">
        <v>240</v>
      </c>
      <c r="C730" t="s">
        <v>236</v>
      </c>
      <c r="D730" t="s">
        <v>237</v>
      </c>
      <c r="E730" t="s">
        <v>8</v>
      </c>
      <c r="F730" t="s">
        <v>259</v>
      </c>
      <c r="G730" t="s">
        <v>298</v>
      </c>
      <c r="H730">
        <v>19</v>
      </c>
      <c r="I730">
        <v>2240.89</v>
      </c>
      <c r="J730">
        <v>42576.91</v>
      </c>
    </row>
    <row r="731" spans="1:10">
      <c r="A731" s="26">
        <v>45117</v>
      </c>
      <c r="B731" t="s">
        <v>257</v>
      </c>
      <c r="C731" t="s">
        <v>273</v>
      </c>
      <c r="D731" t="s">
        <v>252</v>
      </c>
      <c r="E731" t="s">
        <v>5</v>
      </c>
      <c r="F731" t="s">
        <v>233</v>
      </c>
      <c r="G731" t="s">
        <v>301</v>
      </c>
      <c r="H731">
        <v>19</v>
      </c>
      <c r="I731">
        <v>4089.21</v>
      </c>
      <c r="J731">
        <v>77694.990000000005</v>
      </c>
    </row>
    <row r="732" spans="1:10">
      <c r="A732" t="s">
        <v>360</v>
      </c>
      <c r="B732" t="s">
        <v>268</v>
      </c>
      <c r="C732" t="s">
        <v>236</v>
      </c>
      <c r="D732" t="s">
        <v>237</v>
      </c>
      <c r="E732" t="s">
        <v>8</v>
      </c>
      <c r="F732" t="s">
        <v>250</v>
      </c>
      <c r="G732" t="s">
        <v>277</v>
      </c>
      <c r="H732">
        <v>6</v>
      </c>
      <c r="I732">
        <v>4286.28</v>
      </c>
      <c r="J732">
        <v>25717.68</v>
      </c>
    </row>
    <row r="733" spans="1:10">
      <c r="A733" t="s">
        <v>361</v>
      </c>
      <c r="B733" t="s">
        <v>248</v>
      </c>
      <c r="C733" t="s">
        <v>244</v>
      </c>
      <c r="D733" t="s">
        <v>237</v>
      </c>
      <c r="E733" t="s">
        <v>8</v>
      </c>
      <c r="F733" t="s">
        <v>259</v>
      </c>
      <c r="G733" t="s">
        <v>182</v>
      </c>
      <c r="H733">
        <v>20</v>
      </c>
      <c r="I733">
        <v>1316.67</v>
      </c>
      <c r="J733">
        <v>26333.4</v>
      </c>
    </row>
    <row r="734" spans="1:10">
      <c r="A734" t="s">
        <v>435</v>
      </c>
      <c r="B734" t="s">
        <v>268</v>
      </c>
      <c r="C734" t="s">
        <v>276</v>
      </c>
      <c r="D734" t="s">
        <v>247</v>
      </c>
      <c r="E734" t="s">
        <v>6</v>
      </c>
      <c r="F734" t="s">
        <v>245</v>
      </c>
      <c r="G734" t="s">
        <v>295</v>
      </c>
      <c r="H734">
        <v>17</v>
      </c>
      <c r="I734">
        <v>3145.73</v>
      </c>
      <c r="J734">
        <v>53477.41</v>
      </c>
    </row>
    <row r="735" spans="1:10">
      <c r="A735" t="s">
        <v>373</v>
      </c>
      <c r="B735" t="s">
        <v>268</v>
      </c>
      <c r="C735" t="s">
        <v>274</v>
      </c>
      <c r="D735" t="s">
        <v>232</v>
      </c>
      <c r="E735" t="s">
        <v>6</v>
      </c>
      <c r="F735" t="s">
        <v>245</v>
      </c>
      <c r="G735" t="s">
        <v>266</v>
      </c>
      <c r="H735">
        <v>10</v>
      </c>
      <c r="I735">
        <v>2523.59</v>
      </c>
      <c r="J735">
        <v>25235.9</v>
      </c>
    </row>
    <row r="736" spans="1:10">
      <c r="A736" t="s">
        <v>439</v>
      </c>
      <c r="B736" t="s">
        <v>240</v>
      </c>
      <c r="C736" t="s">
        <v>281</v>
      </c>
      <c r="D736" t="s">
        <v>252</v>
      </c>
      <c r="E736" t="s">
        <v>5</v>
      </c>
      <c r="F736" t="s">
        <v>238</v>
      </c>
      <c r="G736" t="s">
        <v>239</v>
      </c>
      <c r="H736">
        <v>2</v>
      </c>
      <c r="I736">
        <v>2851.64</v>
      </c>
      <c r="J736">
        <v>5703.28</v>
      </c>
    </row>
    <row r="737" spans="1:10">
      <c r="A737" t="s">
        <v>421</v>
      </c>
      <c r="B737" t="s">
        <v>268</v>
      </c>
      <c r="C737" t="s">
        <v>274</v>
      </c>
      <c r="D737" t="s">
        <v>232</v>
      </c>
      <c r="E737" t="s">
        <v>6</v>
      </c>
      <c r="F737" t="s">
        <v>238</v>
      </c>
      <c r="G737" t="s">
        <v>239</v>
      </c>
      <c r="H737">
        <v>20</v>
      </c>
      <c r="I737">
        <v>3193.18</v>
      </c>
      <c r="J737">
        <v>63863.6</v>
      </c>
    </row>
    <row r="738" spans="1:10">
      <c r="A738" t="s">
        <v>375</v>
      </c>
      <c r="B738" t="s">
        <v>240</v>
      </c>
      <c r="C738" t="s">
        <v>313</v>
      </c>
      <c r="D738" t="s">
        <v>252</v>
      </c>
      <c r="E738" t="s">
        <v>5</v>
      </c>
      <c r="F738" t="s">
        <v>245</v>
      </c>
      <c r="G738" t="s">
        <v>266</v>
      </c>
      <c r="H738">
        <v>8</v>
      </c>
      <c r="I738">
        <v>4663.82</v>
      </c>
      <c r="J738">
        <v>37310.559999999998</v>
      </c>
    </row>
    <row r="739" spans="1:10">
      <c r="A739" s="26">
        <v>44938</v>
      </c>
      <c r="B739" t="s">
        <v>257</v>
      </c>
      <c r="C739" t="s">
        <v>249</v>
      </c>
      <c r="D739" t="s">
        <v>232</v>
      </c>
      <c r="E739" t="s">
        <v>6</v>
      </c>
      <c r="F739" t="s">
        <v>238</v>
      </c>
      <c r="G739" t="s">
        <v>303</v>
      </c>
      <c r="H739">
        <v>13</v>
      </c>
      <c r="I739">
        <v>4263.79</v>
      </c>
      <c r="J739">
        <v>55429.27</v>
      </c>
    </row>
    <row r="740" spans="1:10">
      <c r="A740" t="s">
        <v>418</v>
      </c>
      <c r="B740" t="s">
        <v>280</v>
      </c>
      <c r="C740" t="s">
        <v>244</v>
      </c>
      <c r="D740" t="s">
        <v>237</v>
      </c>
      <c r="E740" t="s">
        <v>8</v>
      </c>
      <c r="F740" t="s">
        <v>233</v>
      </c>
      <c r="G740" t="s">
        <v>304</v>
      </c>
      <c r="H740">
        <v>11</v>
      </c>
      <c r="I740">
        <v>819.85</v>
      </c>
      <c r="J740">
        <v>9018.35</v>
      </c>
    </row>
    <row r="741" spans="1:10">
      <c r="A741" t="s">
        <v>474</v>
      </c>
      <c r="B741" t="s">
        <v>271</v>
      </c>
      <c r="C741" t="s">
        <v>244</v>
      </c>
      <c r="D741" t="s">
        <v>237</v>
      </c>
      <c r="E741" t="s">
        <v>8</v>
      </c>
      <c r="F741" t="s">
        <v>259</v>
      </c>
      <c r="G741" t="s">
        <v>299</v>
      </c>
      <c r="H741">
        <v>8</v>
      </c>
      <c r="I741">
        <v>2784.08</v>
      </c>
      <c r="J741">
        <v>22272.639999999999</v>
      </c>
    </row>
    <row r="742" spans="1:10">
      <c r="A742" t="s">
        <v>379</v>
      </c>
      <c r="B742" t="s">
        <v>268</v>
      </c>
      <c r="C742" t="s">
        <v>255</v>
      </c>
      <c r="D742" t="s">
        <v>237</v>
      </c>
      <c r="E742" t="s">
        <v>8</v>
      </c>
      <c r="F742" t="s">
        <v>245</v>
      </c>
      <c r="G742" t="s">
        <v>269</v>
      </c>
      <c r="H742">
        <v>8</v>
      </c>
      <c r="I742">
        <v>2240.2199999999998</v>
      </c>
      <c r="J742">
        <v>17921.759999999998</v>
      </c>
    </row>
    <row r="743" spans="1:10">
      <c r="A743" s="26">
        <v>45089</v>
      </c>
      <c r="B743" t="s">
        <v>235</v>
      </c>
      <c r="C743" t="s">
        <v>255</v>
      </c>
      <c r="D743" t="s">
        <v>237</v>
      </c>
      <c r="E743" t="s">
        <v>8</v>
      </c>
      <c r="F743" t="s">
        <v>259</v>
      </c>
      <c r="G743" t="s">
        <v>179</v>
      </c>
      <c r="H743">
        <v>18</v>
      </c>
      <c r="I743">
        <v>1039.3800000000001</v>
      </c>
      <c r="J743">
        <v>18708.84</v>
      </c>
    </row>
    <row r="744" spans="1:10">
      <c r="A744" s="26">
        <v>45118</v>
      </c>
      <c r="B744" t="s">
        <v>248</v>
      </c>
      <c r="C744" t="s">
        <v>276</v>
      </c>
      <c r="D744" t="s">
        <v>247</v>
      </c>
      <c r="E744" t="s">
        <v>6</v>
      </c>
      <c r="F744" t="s">
        <v>250</v>
      </c>
      <c r="G744" t="s">
        <v>277</v>
      </c>
      <c r="H744">
        <v>18</v>
      </c>
      <c r="I744">
        <v>1297.93</v>
      </c>
      <c r="J744">
        <v>23362.74</v>
      </c>
    </row>
    <row r="745" spans="1:10">
      <c r="A745" s="26">
        <v>45047</v>
      </c>
      <c r="B745" t="s">
        <v>280</v>
      </c>
      <c r="C745" t="s">
        <v>249</v>
      </c>
      <c r="D745" t="s">
        <v>232</v>
      </c>
      <c r="E745" t="s">
        <v>6</v>
      </c>
      <c r="F745" t="s">
        <v>233</v>
      </c>
      <c r="G745" t="s">
        <v>301</v>
      </c>
      <c r="H745">
        <v>4</v>
      </c>
      <c r="I745">
        <v>4293.74</v>
      </c>
      <c r="J745">
        <v>17174.96</v>
      </c>
    </row>
    <row r="746" spans="1:10">
      <c r="A746" t="s">
        <v>475</v>
      </c>
      <c r="B746" t="s">
        <v>254</v>
      </c>
      <c r="C746" t="s">
        <v>313</v>
      </c>
      <c r="D746" t="s">
        <v>252</v>
      </c>
      <c r="E746" t="s">
        <v>5</v>
      </c>
      <c r="F746" t="s">
        <v>259</v>
      </c>
      <c r="G746" t="s">
        <v>179</v>
      </c>
      <c r="H746">
        <v>11</v>
      </c>
      <c r="I746">
        <v>2133.36</v>
      </c>
      <c r="J746">
        <v>23466.959999999999</v>
      </c>
    </row>
    <row r="747" spans="1:10">
      <c r="A747" t="s">
        <v>333</v>
      </c>
      <c r="B747" t="s">
        <v>230</v>
      </c>
      <c r="C747" t="s">
        <v>241</v>
      </c>
      <c r="D747" t="s">
        <v>242</v>
      </c>
      <c r="E747" t="s">
        <v>8</v>
      </c>
      <c r="F747" t="s">
        <v>250</v>
      </c>
      <c r="G747" t="s">
        <v>284</v>
      </c>
      <c r="H747">
        <v>11</v>
      </c>
      <c r="I747">
        <v>735.74</v>
      </c>
      <c r="J747">
        <v>8093.14</v>
      </c>
    </row>
    <row r="748" spans="1:10">
      <c r="A748" s="26">
        <v>45141</v>
      </c>
      <c r="B748" t="s">
        <v>240</v>
      </c>
      <c r="C748" t="s">
        <v>273</v>
      </c>
      <c r="D748" t="s">
        <v>252</v>
      </c>
      <c r="E748" t="s">
        <v>5</v>
      </c>
      <c r="F748" t="s">
        <v>245</v>
      </c>
      <c r="G748" t="s">
        <v>246</v>
      </c>
      <c r="H748">
        <v>14</v>
      </c>
      <c r="I748">
        <v>271.27</v>
      </c>
      <c r="J748">
        <v>3797.78</v>
      </c>
    </row>
    <row r="749" spans="1:10">
      <c r="A749" s="26">
        <v>45210</v>
      </c>
      <c r="B749" t="s">
        <v>240</v>
      </c>
      <c r="C749" t="s">
        <v>241</v>
      </c>
      <c r="D749" t="s">
        <v>242</v>
      </c>
      <c r="E749" t="s">
        <v>8</v>
      </c>
      <c r="F749" t="s">
        <v>233</v>
      </c>
      <c r="G749" t="s">
        <v>234</v>
      </c>
      <c r="H749">
        <v>5</v>
      </c>
      <c r="I749">
        <v>4759.1899999999996</v>
      </c>
      <c r="J749">
        <v>23795.95</v>
      </c>
    </row>
    <row r="750" spans="1:10">
      <c r="A750" s="26">
        <v>45211</v>
      </c>
      <c r="B750" t="s">
        <v>235</v>
      </c>
      <c r="C750" t="s">
        <v>261</v>
      </c>
      <c r="D750" t="s">
        <v>247</v>
      </c>
      <c r="E750" t="s">
        <v>6</v>
      </c>
      <c r="F750" t="s">
        <v>259</v>
      </c>
      <c r="G750" t="s">
        <v>182</v>
      </c>
      <c r="H750">
        <v>11</v>
      </c>
      <c r="I750">
        <v>941.97</v>
      </c>
      <c r="J750">
        <v>10361.67</v>
      </c>
    </row>
    <row r="751" spans="1:10">
      <c r="A751" s="26">
        <v>45238</v>
      </c>
      <c r="B751" t="s">
        <v>235</v>
      </c>
      <c r="C751" t="s">
        <v>244</v>
      </c>
      <c r="D751" t="s">
        <v>237</v>
      </c>
      <c r="E751" t="s">
        <v>8</v>
      </c>
      <c r="F751" t="s">
        <v>250</v>
      </c>
      <c r="G751" t="s">
        <v>293</v>
      </c>
      <c r="H751">
        <v>11</v>
      </c>
      <c r="I751">
        <v>2182.46</v>
      </c>
      <c r="J751">
        <v>24007.06</v>
      </c>
    </row>
    <row r="752" spans="1:10">
      <c r="A752" t="s">
        <v>462</v>
      </c>
      <c r="B752" t="s">
        <v>235</v>
      </c>
      <c r="C752" t="s">
        <v>249</v>
      </c>
      <c r="D752" t="s">
        <v>232</v>
      </c>
      <c r="E752" t="s">
        <v>6</v>
      </c>
      <c r="F752" t="s">
        <v>250</v>
      </c>
      <c r="G752" t="s">
        <v>284</v>
      </c>
      <c r="H752">
        <v>10</v>
      </c>
      <c r="I752">
        <v>2112.91</v>
      </c>
      <c r="J752">
        <v>21129.1</v>
      </c>
    </row>
    <row r="753" spans="1:10">
      <c r="A753" s="26">
        <v>45232</v>
      </c>
      <c r="B753" t="s">
        <v>248</v>
      </c>
      <c r="C753" t="s">
        <v>276</v>
      </c>
      <c r="D753" t="s">
        <v>247</v>
      </c>
      <c r="E753" t="s">
        <v>6</v>
      </c>
      <c r="F753" t="s">
        <v>245</v>
      </c>
      <c r="G753" t="s">
        <v>246</v>
      </c>
      <c r="H753">
        <v>13</v>
      </c>
      <c r="I753">
        <v>3495.08</v>
      </c>
      <c r="J753">
        <v>45436.04</v>
      </c>
    </row>
    <row r="754" spans="1:10">
      <c r="A754" s="26">
        <v>44932</v>
      </c>
      <c r="B754" t="s">
        <v>230</v>
      </c>
      <c r="C754" t="s">
        <v>281</v>
      </c>
      <c r="D754" t="s">
        <v>252</v>
      </c>
      <c r="E754" t="s">
        <v>5</v>
      </c>
      <c r="F754" t="s">
        <v>250</v>
      </c>
      <c r="G754" t="s">
        <v>251</v>
      </c>
      <c r="H754">
        <v>2</v>
      </c>
      <c r="I754">
        <v>3439.47</v>
      </c>
      <c r="J754">
        <v>6878.94</v>
      </c>
    </row>
    <row r="755" spans="1:10">
      <c r="A755" s="26">
        <v>45231</v>
      </c>
      <c r="B755" t="s">
        <v>240</v>
      </c>
      <c r="C755" t="s">
        <v>316</v>
      </c>
      <c r="D755" t="s">
        <v>247</v>
      </c>
      <c r="E755" t="s">
        <v>6</v>
      </c>
      <c r="F755" t="s">
        <v>233</v>
      </c>
      <c r="G755" t="s">
        <v>234</v>
      </c>
      <c r="H755">
        <v>20</v>
      </c>
      <c r="I755">
        <v>3279.25</v>
      </c>
      <c r="J755">
        <v>65585</v>
      </c>
    </row>
    <row r="756" spans="1:10">
      <c r="A756" s="26">
        <v>44928</v>
      </c>
      <c r="B756" t="s">
        <v>240</v>
      </c>
      <c r="C756" t="s">
        <v>313</v>
      </c>
      <c r="D756" t="s">
        <v>252</v>
      </c>
      <c r="E756" t="s">
        <v>5</v>
      </c>
      <c r="F756" t="s">
        <v>233</v>
      </c>
      <c r="G756" t="s">
        <v>287</v>
      </c>
      <c r="H756">
        <v>16</v>
      </c>
      <c r="I756">
        <v>3320.8</v>
      </c>
      <c r="J756">
        <v>53132.800000000003</v>
      </c>
    </row>
    <row r="757" spans="1:10">
      <c r="A757" t="s">
        <v>408</v>
      </c>
      <c r="B757" t="s">
        <v>240</v>
      </c>
      <c r="C757" t="s">
        <v>274</v>
      </c>
      <c r="D757" t="s">
        <v>232</v>
      </c>
      <c r="E757" t="s">
        <v>6</v>
      </c>
      <c r="F757" t="s">
        <v>245</v>
      </c>
      <c r="G757" t="s">
        <v>295</v>
      </c>
      <c r="H757">
        <v>6</v>
      </c>
      <c r="I757">
        <v>4105.1899999999996</v>
      </c>
      <c r="J757">
        <v>24631.14</v>
      </c>
    </row>
    <row r="758" spans="1:10">
      <c r="A758" t="s">
        <v>470</v>
      </c>
      <c r="B758" t="s">
        <v>260</v>
      </c>
      <c r="C758" t="s">
        <v>281</v>
      </c>
      <c r="D758" t="s">
        <v>252</v>
      </c>
      <c r="E758" t="s">
        <v>5</v>
      </c>
      <c r="F758" t="s">
        <v>250</v>
      </c>
      <c r="G758" t="s">
        <v>277</v>
      </c>
      <c r="H758">
        <v>7</v>
      </c>
      <c r="I758">
        <v>1830.46</v>
      </c>
      <c r="J758">
        <v>12813.22</v>
      </c>
    </row>
    <row r="759" spans="1:10">
      <c r="A759" t="s">
        <v>476</v>
      </c>
      <c r="B759" t="s">
        <v>235</v>
      </c>
      <c r="C759" t="s">
        <v>281</v>
      </c>
      <c r="D759" t="s">
        <v>252</v>
      </c>
      <c r="E759" t="s">
        <v>5</v>
      </c>
      <c r="F759" t="s">
        <v>238</v>
      </c>
      <c r="G759" t="s">
        <v>303</v>
      </c>
      <c r="H759">
        <v>19</v>
      </c>
      <c r="I759">
        <v>3901.75</v>
      </c>
      <c r="J759">
        <v>74133.25</v>
      </c>
    </row>
    <row r="760" spans="1:10">
      <c r="A760" t="s">
        <v>477</v>
      </c>
      <c r="B760" t="s">
        <v>235</v>
      </c>
      <c r="C760" t="s">
        <v>236</v>
      </c>
      <c r="D760" t="s">
        <v>237</v>
      </c>
      <c r="E760" t="s">
        <v>8</v>
      </c>
      <c r="F760" t="s">
        <v>250</v>
      </c>
      <c r="G760" t="s">
        <v>251</v>
      </c>
      <c r="H760">
        <v>10</v>
      </c>
      <c r="I760">
        <v>3031.91</v>
      </c>
      <c r="J760">
        <v>30319.1</v>
      </c>
    </row>
    <row r="761" spans="1:10">
      <c r="A761" s="26">
        <v>45116</v>
      </c>
      <c r="B761" t="s">
        <v>257</v>
      </c>
      <c r="C761" t="s">
        <v>231</v>
      </c>
      <c r="D761" t="s">
        <v>232</v>
      </c>
      <c r="E761" t="s">
        <v>6</v>
      </c>
      <c r="F761" t="s">
        <v>238</v>
      </c>
      <c r="G761" t="s">
        <v>239</v>
      </c>
      <c r="H761">
        <v>18</v>
      </c>
      <c r="I761">
        <v>3575.04</v>
      </c>
      <c r="J761">
        <v>64350.720000000001</v>
      </c>
    </row>
    <row r="762" spans="1:10">
      <c r="A762" s="26">
        <v>44935</v>
      </c>
      <c r="B762" t="s">
        <v>260</v>
      </c>
      <c r="C762" t="s">
        <v>241</v>
      </c>
      <c r="D762" t="s">
        <v>242</v>
      </c>
      <c r="E762" t="s">
        <v>8</v>
      </c>
      <c r="F762" t="s">
        <v>250</v>
      </c>
      <c r="G762" t="s">
        <v>284</v>
      </c>
      <c r="H762">
        <v>17</v>
      </c>
      <c r="I762">
        <v>2920.06</v>
      </c>
      <c r="J762">
        <v>49641.02</v>
      </c>
    </row>
    <row r="763" spans="1:10">
      <c r="A763" t="s">
        <v>467</v>
      </c>
      <c r="B763" t="s">
        <v>268</v>
      </c>
      <c r="C763" t="s">
        <v>249</v>
      </c>
      <c r="D763" t="s">
        <v>232</v>
      </c>
      <c r="E763" t="s">
        <v>6</v>
      </c>
      <c r="F763" t="s">
        <v>259</v>
      </c>
      <c r="G763" t="s">
        <v>299</v>
      </c>
      <c r="H763">
        <v>15</v>
      </c>
      <c r="I763">
        <v>2796.48</v>
      </c>
      <c r="J763">
        <v>41947.199999999997</v>
      </c>
    </row>
    <row r="764" spans="1:10">
      <c r="A764" t="s">
        <v>478</v>
      </c>
      <c r="B764" t="s">
        <v>254</v>
      </c>
      <c r="C764" t="s">
        <v>255</v>
      </c>
      <c r="D764" t="s">
        <v>237</v>
      </c>
      <c r="E764" t="s">
        <v>8</v>
      </c>
      <c r="F764" t="s">
        <v>259</v>
      </c>
      <c r="G764" t="s">
        <v>182</v>
      </c>
      <c r="H764">
        <v>1</v>
      </c>
      <c r="I764">
        <v>2918.29</v>
      </c>
      <c r="J764">
        <v>2918.29</v>
      </c>
    </row>
    <row r="765" spans="1:10">
      <c r="A765" t="s">
        <v>479</v>
      </c>
      <c r="B765" t="s">
        <v>260</v>
      </c>
      <c r="C765" t="s">
        <v>261</v>
      </c>
      <c r="D765" t="s">
        <v>247</v>
      </c>
      <c r="E765" t="s">
        <v>6</v>
      </c>
      <c r="F765" t="s">
        <v>233</v>
      </c>
      <c r="G765" t="s">
        <v>287</v>
      </c>
      <c r="H765">
        <v>10</v>
      </c>
      <c r="I765">
        <v>1097.83</v>
      </c>
      <c r="J765">
        <v>10978.3</v>
      </c>
    </row>
    <row r="766" spans="1:10">
      <c r="A766" s="26">
        <v>45262</v>
      </c>
      <c r="B766" t="s">
        <v>230</v>
      </c>
      <c r="C766" t="s">
        <v>249</v>
      </c>
      <c r="D766" t="s">
        <v>232</v>
      </c>
      <c r="E766" t="s">
        <v>6</v>
      </c>
      <c r="F766" t="s">
        <v>245</v>
      </c>
      <c r="G766" t="s">
        <v>269</v>
      </c>
      <c r="H766">
        <v>10</v>
      </c>
      <c r="I766">
        <v>3391.5</v>
      </c>
      <c r="J766">
        <v>33915</v>
      </c>
    </row>
    <row r="767" spans="1:10">
      <c r="A767" s="26">
        <v>45176</v>
      </c>
      <c r="B767" t="s">
        <v>271</v>
      </c>
      <c r="C767" t="s">
        <v>313</v>
      </c>
      <c r="D767" t="s">
        <v>252</v>
      </c>
      <c r="E767" t="s">
        <v>5</v>
      </c>
      <c r="F767" t="s">
        <v>250</v>
      </c>
      <c r="G767" t="s">
        <v>284</v>
      </c>
      <c r="H767">
        <v>13</v>
      </c>
      <c r="I767">
        <v>2225.88</v>
      </c>
      <c r="J767">
        <v>28936.44</v>
      </c>
    </row>
    <row r="768" spans="1:10">
      <c r="A768" s="26">
        <v>45058</v>
      </c>
      <c r="B768" t="s">
        <v>257</v>
      </c>
      <c r="C768" t="s">
        <v>274</v>
      </c>
      <c r="D768" t="s">
        <v>232</v>
      </c>
      <c r="E768" t="s">
        <v>6</v>
      </c>
      <c r="F768" t="s">
        <v>245</v>
      </c>
      <c r="G768" t="s">
        <v>269</v>
      </c>
      <c r="H768">
        <v>2</v>
      </c>
      <c r="I768">
        <v>1559.76</v>
      </c>
      <c r="J768">
        <v>3119.52</v>
      </c>
    </row>
    <row r="769" spans="1:10">
      <c r="A769" t="s">
        <v>358</v>
      </c>
      <c r="B769" t="s">
        <v>240</v>
      </c>
      <c r="C769" t="s">
        <v>316</v>
      </c>
      <c r="D769" t="s">
        <v>247</v>
      </c>
      <c r="E769" t="s">
        <v>6</v>
      </c>
      <c r="F769" t="s">
        <v>250</v>
      </c>
      <c r="G769" t="s">
        <v>277</v>
      </c>
      <c r="H769">
        <v>13</v>
      </c>
      <c r="I769">
        <v>4719.96</v>
      </c>
      <c r="J769">
        <v>61359.48</v>
      </c>
    </row>
    <row r="770" spans="1:10">
      <c r="A770" t="s">
        <v>480</v>
      </c>
      <c r="B770" t="s">
        <v>280</v>
      </c>
      <c r="C770" t="s">
        <v>241</v>
      </c>
      <c r="D770" t="s">
        <v>242</v>
      </c>
      <c r="E770" t="s">
        <v>8</v>
      </c>
      <c r="F770" t="s">
        <v>238</v>
      </c>
      <c r="G770" t="s">
        <v>256</v>
      </c>
      <c r="H770">
        <v>5</v>
      </c>
      <c r="I770">
        <v>1593.02</v>
      </c>
      <c r="J770">
        <v>7965.1</v>
      </c>
    </row>
    <row r="771" spans="1:10">
      <c r="A771" t="s">
        <v>306</v>
      </c>
      <c r="B771" t="s">
        <v>254</v>
      </c>
      <c r="C771" t="s">
        <v>255</v>
      </c>
      <c r="D771" t="s">
        <v>237</v>
      </c>
      <c r="E771" t="s">
        <v>8</v>
      </c>
      <c r="F771" t="s">
        <v>245</v>
      </c>
      <c r="G771" t="s">
        <v>246</v>
      </c>
      <c r="H771">
        <v>7</v>
      </c>
      <c r="I771">
        <v>1233.6300000000001</v>
      </c>
      <c r="J771">
        <v>8635.41</v>
      </c>
    </row>
    <row r="772" spans="1:10">
      <c r="A772" t="s">
        <v>351</v>
      </c>
      <c r="B772" t="s">
        <v>248</v>
      </c>
      <c r="C772" t="s">
        <v>244</v>
      </c>
      <c r="D772" t="s">
        <v>237</v>
      </c>
      <c r="E772" t="s">
        <v>8</v>
      </c>
      <c r="F772" t="s">
        <v>259</v>
      </c>
      <c r="G772" t="s">
        <v>298</v>
      </c>
      <c r="H772">
        <v>2</v>
      </c>
      <c r="I772">
        <v>2261.69</v>
      </c>
      <c r="J772">
        <v>4523.38</v>
      </c>
    </row>
    <row r="773" spans="1:10">
      <c r="A773" s="26">
        <v>45235</v>
      </c>
      <c r="B773" t="s">
        <v>260</v>
      </c>
      <c r="C773" t="s">
        <v>236</v>
      </c>
      <c r="D773" t="s">
        <v>237</v>
      </c>
      <c r="E773" t="s">
        <v>8</v>
      </c>
      <c r="F773" t="s">
        <v>250</v>
      </c>
      <c r="G773" t="s">
        <v>284</v>
      </c>
      <c r="H773">
        <v>15</v>
      </c>
      <c r="I773">
        <v>1197.31</v>
      </c>
      <c r="J773">
        <v>17959.650000000001</v>
      </c>
    </row>
    <row r="774" spans="1:10">
      <c r="A774" s="26">
        <v>45173</v>
      </c>
      <c r="B774" t="s">
        <v>235</v>
      </c>
      <c r="C774" t="s">
        <v>258</v>
      </c>
      <c r="D774" t="s">
        <v>242</v>
      </c>
      <c r="E774" t="s">
        <v>8</v>
      </c>
      <c r="F774" t="s">
        <v>238</v>
      </c>
      <c r="G774" t="s">
        <v>256</v>
      </c>
      <c r="H774">
        <v>9</v>
      </c>
      <c r="I774">
        <v>3441.09</v>
      </c>
      <c r="J774">
        <v>30969.81</v>
      </c>
    </row>
    <row r="775" spans="1:10">
      <c r="A775" t="s">
        <v>424</v>
      </c>
      <c r="B775" t="s">
        <v>235</v>
      </c>
      <c r="C775" t="s">
        <v>313</v>
      </c>
      <c r="D775" t="s">
        <v>252</v>
      </c>
      <c r="E775" t="s">
        <v>5</v>
      </c>
      <c r="F775" t="s">
        <v>233</v>
      </c>
      <c r="G775" t="s">
        <v>301</v>
      </c>
      <c r="H775">
        <v>2</v>
      </c>
      <c r="I775">
        <v>3325.99</v>
      </c>
      <c r="J775">
        <v>6651.98</v>
      </c>
    </row>
    <row r="776" spans="1:10">
      <c r="A776" t="s">
        <v>446</v>
      </c>
      <c r="B776" t="s">
        <v>280</v>
      </c>
      <c r="C776" t="s">
        <v>249</v>
      </c>
      <c r="D776" t="s">
        <v>232</v>
      </c>
      <c r="E776" t="s">
        <v>6</v>
      </c>
      <c r="F776" t="s">
        <v>245</v>
      </c>
      <c r="G776" t="s">
        <v>246</v>
      </c>
      <c r="H776">
        <v>2</v>
      </c>
      <c r="I776">
        <v>991.8</v>
      </c>
      <c r="J776">
        <v>1983.6</v>
      </c>
    </row>
    <row r="777" spans="1:10">
      <c r="A777" t="s">
        <v>468</v>
      </c>
      <c r="B777" t="s">
        <v>271</v>
      </c>
      <c r="C777" t="s">
        <v>313</v>
      </c>
      <c r="D777" t="s">
        <v>252</v>
      </c>
      <c r="E777" t="s">
        <v>5</v>
      </c>
      <c r="F777" t="s">
        <v>250</v>
      </c>
      <c r="G777" t="s">
        <v>251</v>
      </c>
      <c r="H777">
        <v>9</v>
      </c>
      <c r="I777">
        <v>4763.01</v>
      </c>
      <c r="J777">
        <v>42867.09</v>
      </c>
    </row>
    <row r="778" spans="1:10">
      <c r="A778" t="s">
        <v>354</v>
      </c>
      <c r="B778" t="s">
        <v>268</v>
      </c>
      <c r="C778" t="s">
        <v>316</v>
      </c>
      <c r="D778" t="s">
        <v>247</v>
      </c>
      <c r="E778" t="s">
        <v>6</v>
      </c>
      <c r="F778" t="s">
        <v>245</v>
      </c>
      <c r="G778" t="s">
        <v>295</v>
      </c>
      <c r="H778">
        <v>8</v>
      </c>
      <c r="I778">
        <v>826.71</v>
      </c>
      <c r="J778">
        <v>6613.68</v>
      </c>
    </row>
    <row r="779" spans="1:10">
      <c r="A779" t="s">
        <v>262</v>
      </c>
      <c r="B779" t="s">
        <v>230</v>
      </c>
      <c r="C779" t="s">
        <v>241</v>
      </c>
      <c r="D779" t="s">
        <v>242</v>
      </c>
      <c r="E779" t="s">
        <v>8</v>
      </c>
      <c r="F779" t="s">
        <v>250</v>
      </c>
      <c r="G779" t="s">
        <v>293</v>
      </c>
      <c r="H779">
        <v>9</v>
      </c>
      <c r="I779">
        <v>209.57</v>
      </c>
      <c r="J779">
        <v>1886.13</v>
      </c>
    </row>
    <row r="780" spans="1:10">
      <c r="A780" t="s">
        <v>395</v>
      </c>
      <c r="B780" t="s">
        <v>254</v>
      </c>
      <c r="C780" t="s">
        <v>241</v>
      </c>
      <c r="D780" t="s">
        <v>242</v>
      </c>
      <c r="E780" t="s">
        <v>8</v>
      </c>
      <c r="F780" t="s">
        <v>259</v>
      </c>
      <c r="G780" t="s">
        <v>179</v>
      </c>
      <c r="H780">
        <v>7</v>
      </c>
      <c r="I780">
        <v>2538.4299999999998</v>
      </c>
      <c r="J780">
        <v>17769.009999999998</v>
      </c>
    </row>
    <row r="781" spans="1:10">
      <c r="A781" t="s">
        <v>436</v>
      </c>
      <c r="B781" t="s">
        <v>248</v>
      </c>
      <c r="C781" t="s">
        <v>276</v>
      </c>
      <c r="D781" t="s">
        <v>247</v>
      </c>
      <c r="E781" t="s">
        <v>6</v>
      </c>
      <c r="F781" t="s">
        <v>250</v>
      </c>
      <c r="G781" t="s">
        <v>284</v>
      </c>
      <c r="H781">
        <v>7</v>
      </c>
      <c r="I781">
        <v>4116.9799999999996</v>
      </c>
      <c r="J781">
        <v>28818.86</v>
      </c>
    </row>
    <row r="782" spans="1:10">
      <c r="A782" s="26">
        <v>44933</v>
      </c>
      <c r="B782" t="s">
        <v>235</v>
      </c>
      <c r="C782" t="s">
        <v>274</v>
      </c>
      <c r="D782" t="s">
        <v>232</v>
      </c>
      <c r="E782" t="s">
        <v>6</v>
      </c>
      <c r="F782" t="s">
        <v>259</v>
      </c>
      <c r="G782" t="s">
        <v>182</v>
      </c>
      <c r="H782">
        <v>20</v>
      </c>
      <c r="I782">
        <v>3638.01</v>
      </c>
      <c r="J782">
        <v>72760.2</v>
      </c>
    </row>
    <row r="783" spans="1:10">
      <c r="A783" t="s">
        <v>476</v>
      </c>
      <c r="B783" t="s">
        <v>280</v>
      </c>
      <c r="C783" t="s">
        <v>273</v>
      </c>
      <c r="D783" t="s">
        <v>252</v>
      </c>
      <c r="E783" t="s">
        <v>5</v>
      </c>
      <c r="F783" t="s">
        <v>233</v>
      </c>
      <c r="G783" t="s">
        <v>301</v>
      </c>
      <c r="H783">
        <v>8</v>
      </c>
      <c r="I783">
        <v>4523.4399999999996</v>
      </c>
      <c r="J783">
        <v>36187.519999999997</v>
      </c>
    </row>
    <row r="784" spans="1:10">
      <c r="A784" t="s">
        <v>472</v>
      </c>
      <c r="B784" t="s">
        <v>248</v>
      </c>
      <c r="C784" t="s">
        <v>313</v>
      </c>
      <c r="D784" t="s">
        <v>252</v>
      </c>
      <c r="E784" t="s">
        <v>5</v>
      </c>
      <c r="F784" t="s">
        <v>233</v>
      </c>
      <c r="G784" t="s">
        <v>287</v>
      </c>
      <c r="H784">
        <v>17</v>
      </c>
      <c r="I784">
        <v>2042</v>
      </c>
      <c r="J784">
        <v>34714</v>
      </c>
    </row>
    <row r="785" spans="1:10">
      <c r="A785" t="s">
        <v>346</v>
      </c>
      <c r="B785" t="s">
        <v>280</v>
      </c>
      <c r="C785" t="s">
        <v>244</v>
      </c>
      <c r="D785" t="s">
        <v>237</v>
      </c>
      <c r="E785" t="s">
        <v>8</v>
      </c>
      <c r="F785" t="s">
        <v>238</v>
      </c>
      <c r="G785" t="s">
        <v>239</v>
      </c>
      <c r="H785">
        <v>19</v>
      </c>
      <c r="I785">
        <v>2357.62</v>
      </c>
      <c r="J785">
        <v>44794.78</v>
      </c>
    </row>
    <row r="786" spans="1:10">
      <c r="A786" s="26">
        <v>45079</v>
      </c>
      <c r="B786" t="s">
        <v>240</v>
      </c>
      <c r="C786" t="s">
        <v>258</v>
      </c>
      <c r="D786" t="s">
        <v>242</v>
      </c>
      <c r="E786" t="s">
        <v>8</v>
      </c>
      <c r="F786" t="s">
        <v>245</v>
      </c>
      <c r="G786" t="s">
        <v>246</v>
      </c>
      <c r="H786">
        <v>18</v>
      </c>
      <c r="I786">
        <v>941.19</v>
      </c>
      <c r="J786">
        <v>16941.419999999998</v>
      </c>
    </row>
    <row r="787" spans="1:10">
      <c r="A787" s="26">
        <v>45021</v>
      </c>
      <c r="B787" t="s">
        <v>271</v>
      </c>
      <c r="C787" t="s">
        <v>236</v>
      </c>
      <c r="D787" t="s">
        <v>237</v>
      </c>
      <c r="E787" t="s">
        <v>8</v>
      </c>
      <c r="F787" t="s">
        <v>245</v>
      </c>
      <c r="G787" t="s">
        <v>269</v>
      </c>
      <c r="H787">
        <v>9</v>
      </c>
      <c r="I787">
        <v>3927.83</v>
      </c>
      <c r="J787">
        <v>35350.47</v>
      </c>
    </row>
    <row r="788" spans="1:10">
      <c r="A788" t="s">
        <v>369</v>
      </c>
      <c r="B788" t="s">
        <v>235</v>
      </c>
      <c r="C788" t="s">
        <v>241</v>
      </c>
      <c r="D788" t="s">
        <v>242</v>
      </c>
      <c r="E788" t="s">
        <v>8</v>
      </c>
      <c r="F788" t="s">
        <v>250</v>
      </c>
      <c r="G788" t="s">
        <v>284</v>
      </c>
      <c r="H788">
        <v>1</v>
      </c>
      <c r="I788">
        <v>4555.42</v>
      </c>
      <c r="J788">
        <v>4555.42</v>
      </c>
    </row>
    <row r="789" spans="1:10">
      <c r="A789" t="s">
        <v>407</v>
      </c>
      <c r="B789" t="s">
        <v>254</v>
      </c>
      <c r="C789" t="s">
        <v>231</v>
      </c>
      <c r="D789" t="s">
        <v>232</v>
      </c>
      <c r="E789" t="s">
        <v>6</v>
      </c>
      <c r="F789" t="s">
        <v>245</v>
      </c>
      <c r="G789" t="s">
        <v>269</v>
      </c>
      <c r="H789">
        <v>18</v>
      </c>
      <c r="I789">
        <v>3271.29</v>
      </c>
      <c r="J789">
        <v>58883.22</v>
      </c>
    </row>
    <row r="790" spans="1:10">
      <c r="A790" t="s">
        <v>326</v>
      </c>
      <c r="B790" t="s">
        <v>230</v>
      </c>
      <c r="C790" t="s">
        <v>316</v>
      </c>
      <c r="D790" t="s">
        <v>247</v>
      </c>
      <c r="E790" t="s">
        <v>6</v>
      </c>
      <c r="F790" t="s">
        <v>259</v>
      </c>
      <c r="G790" t="s">
        <v>298</v>
      </c>
      <c r="H790">
        <v>15</v>
      </c>
      <c r="I790">
        <v>4406.3100000000004</v>
      </c>
      <c r="J790">
        <v>66094.649999999994</v>
      </c>
    </row>
    <row r="791" spans="1:10">
      <c r="A791" s="26">
        <v>44997</v>
      </c>
      <c r="B791" t="s">
        <v>268</v>
      </c>
      <c r="C791" t="s">
        <v>276</v>
      </c>
      <c r="D791" t="s">
        <v>247</v>
      </c>
      <c r="E791" t="s">
        <v>6</v>
      </c>
      <c r="F791" t="s">
        <v>238</v>
      </c>
      <c r="G791" t="s">
        <v>303</v>
      </c>
      <c r="H791">
        <v>19</v>
      </c>
      <c r="I791">
        <v>2016.56</v>
      </c>
      <c r="J791">
        <v>38314.639999999999</v>
      </c>
    </row>
    <row r="792" spans="1:10">
      <c r="A792" t="s">
        <v>461</v>
      </c>
      <c r="B792" t="s">
        <v>268</v>
      </c>
      <c r="C792" t="s">
        <v>316</v>
      </c>
      <c r="D792" t="s">
        <v>247</v>
      </c>
      <c r="E792" t="s">
        <v>6</v>
      </c>
      <c r="F792" t="s">
        <v>233</v>
      </c>
      <c r="G792" t="s">
        <v>304</v>
      </c>
      <c r="H792">
        <v>13</v>
      </c>
      <c r="I792">
        <v>3531.03</v>
      </c>
      <c r="J792">
        <v>45903.39</v>
      </c>
    </row>
    <row r="793" spans="1:10">
      <c r="A793" t="s">
        <v>481</v>
      </c>
      <c r="B793" t="s">
        <v>257</v>
      </c>
      <c r="C793" t="s">
        <v>236</v>
      </c>
      <c r="D793" t="s">
        <v>237</v>
      </c>
      <c r="E793" t="s">
        <v>8</v>
      </c>
      <c r="F793" t="s">
        <v>233</v>
      </c>
      <c r="G793" t="s">
        <v>234</v>
      </c>
      <c r="H793">
        <v>7</v>
      </c>
      <c r="I793">
        <v>4077.95</v>
      </c>
      <c r="J793">
        <v>28545.65</v>
      </c>
    </row>
    <row r="794" spans="1:10">
      <c r="A794" t="s">
        <v>422</v>
      </c>
      <c r="B794" t="s">
        <v>254</v>
      </c>
      <c r="C794" t="s">
        <v>258</v>
      </c>
      <c r="D794" t="s">
        <v>242</v>
      </c>
      <c r="E794" t="s">
        <v>8</v>
      </c>
      <c r="F794" t="s">
        <v>250</v>
      </c>
      <c r="G794" t="s">
        <v>293</v>
      </c>
      <c r="H794">
        <v>1</v>
      </c>
      <c r="I794">
        <v>1628.88</v>
      </c>
      <c r="J794">
        <v>1628.88</v>
      </c>
    </row>
    <row r="795" spans="1:10">
      <c r="A795" t="s">
        <v>279</v>
      </c>
      <c r="B795" t="s">
        <v>235</v>
      </c>
      <c r="C795" t="s">
        <v>241</v>
      </c>
      <c r="D795" t="s">
        <v>242</v>
      </c>
      <c r="E795" t="s">
        <v>8</v>
      </c>
      <c r="F795" t="s">
        <v>245</v>
      </c>
      <c r="G795" t="s">
        <v>246</v>
      </c>
      <c r="H795">
        <v>15</v>
      </c>
      <c r="I795">
        <v>2093.0300000000002</v>
      </c>
      <c r="J795">
        <v>31395.45</v>
      </c>
    </row>
    <row r="796" spans="1:10">
      <c r="A796" s="26">
        <v>44992</v>
      </c>
      <c r="B796" t="s">
        <v>271</v>
      </c>
      <c r="C796" t="s">
        <v>281</v>
      </c>
      <c r="D796" t="s">
        <v>252</v>
      </c>
      <c r="E796" t="s">
        <v>5</v>
      </c>
      <c r="F796" t="s">
        <v>245</v>
      </c>
      <c r="G796" t="s">
        <v>269</v>
      </c>
      <c r="H796">
        <v>14</v>
      </c>
      <c r="I796">
        <v>2441.0700000000002</v>
      </c>
      <c r="J796">
        <v>34174.980000000003</v>
      </c>
    </row>
    <row r="797" spans="1:10">
      <c r="A797" s="26">
        <v>45266</v>
      </c>
      <c r="B797" t="s">
        <v>280</v>
      </c>
      <c r="C797" t="s">
        <v>274</v>
      </c>
      <c r="D797" t="s">
        <v>232</v>
      </c>
      <c r="E797" t="s">
        <v>6</v>
      </c>
      <c r="F797" t="s">
        <v>233</v>
      </c>
      <c r="G797" t="s">
        <v>301</v>
      </c>
      <c r="H797">
        <v>18</v>
      </c>
      <c r="I797">
        <v>134.66999999999999</v>
      </c>
      <c r="J797">
        <v>2424.06</v>
      </c>
    </row>
    <row r="798" spans="1:10">
      <c r="A798" s="26">
        <v>45207</v>
      </c>
      <c r="B798" t="s">
        <v>235</v>
      </c>
      <c r="C798" t="s">
        <v>258</v>
      </c>
      <c r="D798" t="s">
        <v>242</v>
      </c>
      <c r="E798" t="s">
        <v>8</v>
      </c>
      <c r="F798" t="s">
        <v>259</v>
      </c>
      <c r="G798" t="s">
        <v>179</v>
      </c>
      <c r="H798">
        <v>8</v>
      </c>
      <c r="I798">
        <v>2518.13</v>
      </c>
      <c r="J798">
        <v>20145.04</v>
      </c>
    </row>
    <row r="799" spans="1:10">
      <c r="A799" s="26">
        <v>45054</v>
      </c>
      <c r="B799" t="s">
        <v>240</v>
      </c>
      <c r="C799" t="s">
        <v>281</v>
      </c>
      <c r="D799" t="s">
        <v>252</v>
      </c>
      <c r="E799" t="s">
        <v>5</v>
      </c>
      <c r="F799" t="s">
        <v>238</v>
      </c>
      <c r="G799" t="s">
        <v>296</v>
      </c>
      <c r="H799">
        <v>1</v>
      </c>
      <c r="I799">
        <v>2366.64</v>
      </c>
      <c r="J799">
        <v>2366.64</v>
      </c>
    </row>
    <row r="800" spans="1:10">
      <c r="A800" s="26">
        <v>45028</v>
      </c>
      <c r="B800" t="s">
        <v>235</v>
      </c>
      <c r="C800" t="s">
        <v>249</v>
      </c>
      <c r="D800" t="s">
        <v>232</v>
      </c>
      <c r="E800" t="s">
        <v>6</v>
      </c>
      <c r="F800" t="s">
        <v>238</v>
      </c>
      <c r="G800" t="s">
        <v>239</v>
      </c>
      <c r="H800">
        <v>14</v>
      </c>
      <c r="I800">
        <v>3167.49</v>
      </c>
      <c r="J800">
        <v>44344.86</v>
      </c>
    </row>
    <row r="801" spans="1:10">
      <c r="A801" s="26">
        <v>45265</v>
      </c>
      <c r="B801" t="s">
        <v>254</v>
      </c>
      <c r="C801" t="s">
        <v>249</v>
      </c>
      <c r="D801" t="s">
        <v>232</v>
      </c>
      <c r="E801" t="s">
        <v>6</v>
      </c>
      <c r="F801" t="s">
        <v>259</v>
      </c>
      <c r="G801" t="s">
        <v>182</v>
      </c>
      <c r="H801">
        <v>9</v>
      </c>
      <c r="I801">
        <v>109.56</v>
      </c>
      <c r="J801">
        <v>986.04</v>
      </c>
    </row>
    <row r="802" spans="1:10">
      <c r="A802" s="26">
        <v>44963</v>
      </c>
      <c r="B802" t="s">
        <v>257</v>
      </c>
      <c r="C802" t="s">
        <v>281</v>
      </c>
      <c r="D802" t="s">
        <v>252</v>
      </c>
      <c r="E802" t="s">
        <v>5</v>
      </c>
      <c r="F802" t="s">
        <v>259</v>
      </c>
      <c r="G802" t="s">
        <v>299</v>
      </c>
      <c r="H802">
        <v>20</v>
      </c>
      <c r="I802">
        <v>652.87</v>
      </c>
      <c r="J802">
        <v>13057.4</v>
      </c>
    </row>
    <row r="803" spans="1:10">
      <c r="A803" t="s">
        <v>363</v>
      </c>
      <c r="B803" t="s">
        <v>254</v>
      </c>
      <c r="C803" t="s">
        <v>241</v>
      </c>
      <c r="D803" t="s">
        <v>242</v>
      </c>
      <c r="E803" t="s">
        <v>8</v>
      </c>
      <c r="F803" t="s">
        <v>245</v>
      </c>
      <c r="G803" t="s">
        <v>269</v>
      </c>
      <c r="H803">
        <v>4</v>
      </c>
      <c r="I803">
        <v>2563.65</v>
      </c>
      <c r="J803">
        <v>10254.6</v>
      </c>
    </row>
    <row r="804" spans="1:10">
      <c r="A804" t="s">
        <v>339</v>
      </c>
      <c r="B804" t="s">
        <v>248</v>
      </c>
      <c r="C804" t="s">
        <v>255</v>
      </c>
      <c r="D804" t="s">
        <v>237</v>
      </c>
      <c r="E804" t="s">
        <v>8</v>
      </c>
      <c r="F804" t="s">
        <v>250</v>
      </c>
      <c r="G804" t="s">
        <v>277</v>
      </c>
      <c r="H804">
        <v>2</v>
      </c>
      <c r="I804">
        <v>771.23</v>
      </c>
      <c r="J804">
        <v>1542.46</v>
      </c>
    </row>
    <row r="805" spans="1:10">
      <c r="A805" t="s">
        <v>391</v>
      </c>
      <c r="B805" t="s">
        <v>260</v>
      </c>
      <c r="C805" t="s">
        <v>244</v>
      </c>
      <c r="D805" t="s">
        <v>237</v>
      </c>
      <c r="E805" t="s">
        <v>8</v>
      </c>
      <c r="F805" t="s">
        <v>245</v>
      </c>
      <c r="G805" t="s">
        <v>269</v>
      </c>
      <c r="H805">
        <v>19</v>
      </c>
      <c r="I805">
        <v>2290.6799999999998</v>
      </c>
      <c r="J805">
        <v>43522.92</v>
      </c>
    </row>
    <row r="806" spans="1:10">
      <c r="A806" t="s">
        <v>297</v>
      </c>
      <c r="B806" t="s">
        <v>254</v>
      </c>
      <c r="C806" t="s">
        <v>283</v>
      </c>
      <c r="D806" t="s">
        <v>242</v>
      </c>
      <c r="E806" t="s">
        <v>8</v>
      </c>
      <c r="F806" t="s">
        <v>238</v>
      </c>
      <c r="G806" t="s">
        <v>256</v>
      </c>
      <c r="H806">
        <v>9</v>
      </c>
      <c r="I806">
        <v>4965.3</v>
      </c>
      <c r="J806">
        <v>44687.7</v>
      </c>
    </row>
    <row r="807" spans="1:10">
      <c r="A807" t="s">
        <v>439</v>
      </c>
      <c r="B807" t="s">
        <v>248</v>
      </c>
      <c r="C807" t="s">
        <v>231</v>
      </c>
      <c r="D807" t="s">
        <v>232</v>
      </c>
      <c r="E807" t="s">
        <v>6</v>
      </c>
      <c r="F807" t="s">
        <v>259</v>
      </c>
      <c r="G807" t="s">
        <v>182</v>
      </c>
      <c r="H807">
        <v>4</v>
      </c>
      <c r="I807">
        <v>3684.5</v>
      </c>
      <c r="J807">
        <v>14738</v>
      </c>
    </row>
    <row r="808" spans="1:10">
      <c r="A808" s="26">
        <v>45237</v>
      </c>
      <c r="B808" t="s">
        <v>240</v>
      </c>
      <c r="C808" t="s">
        <v>261</v>
      </c>
      <c r="D808" t="s">
        <v>247</v>
      </c>
      <c r="E808" t="s">
        <v>6</v>
      </c>
      <c r="F808" t="s">
        <v>250</v>
      </c>
      <c r="G808" t="s">
        <v>293</v>
      </c>
      <c r="H808">
        <v>14</v>
      </c>
      <c r="I808">
        <v>4566.12</v>
      </c>
      <c r="J808">
        <v>63925.68</v>
      </c>
    </row>
    <row r="809" spans="1:10">
      <c r="A809" t="s">
        <v>314</v>
      </c>
      <c r="B809" t="s">
        <v>257</v>
      </c>
      <c r="C809" t="s">
        <v>255</v>
      </c>
      <c r="D809" t="s">
        <v>237</v>
      </c>
      <c r="E809" t="s">
        <v>8</v>
      </c>
      <c r="F809" t="s">
        <v>233</v>
      </c>
      <c r="G809" t="s">
        <v>304</v>
      </c>
      <c r="H809">
        <v>17</v>
      </c>
      <c r="I809">
        <v>2246.8200000000002</v>
      </c>
      <c r="J809">
        <v>38195.94</v>
      </c>
    </row>
    <row r="810" spans="1:10">
      <c r="A810" s="26">
        <v>45266</v>
      </c>
      <c r="B810" t="s">
        <v>240</v>
      </c>
      <c r="C810" t="s">
        <v>313</v>
      </c>
      <c r="D810" t="s">
        <v>252</v>
      </c>
      <c r="E810" t="s">
        <v>5</v>
      </c>
      <c r="F810" t="s">
        <v>238</v>
      </c>
      <c r="G810" t="s">
        <v>239</v>
      </c>
      <c r="H810">
        <v>3</v>
      </c>
      <c r="I810">
        <v>215.21</v>
      </c>
      <c r="J810">
        <v>645.63</v>
      </c>
    </row>
    <row r="811" spans="1:10">
      <c r="A811" t="s">
        <v>477</v>
      </c>
      <c r="B811" t="s">
        <v>280</v>
      </c>
      <c r="C811" t="s">
        <v>241</v>
      </c>
      <c r="D811" t="s">
        <v>242</v>
      </c>
      <c r="E811" t="s">
        <v>8</v>
      </c>
      <c r="F811" t="s">
        <v>259</v>
      </c>
      <c r="G811" t="s">
        <v>179</v>
      </c>
      <c r="H811">
        <v>7</v>
      </c>
      <c r="I811">
        <v>1294.31</v>
      </c>
      <c r="J811">
        <v>9060.17</v>
      </c>
    </row>
    <row r="812" spans="1:10">
      <c r="A812" t="s">
        <v>409</v>
      </c>
      <c r="B812" t="s">
        <v>254</v>
      </c>
      <c r="C812" t="s">
        <v>316</v>
      </c>
      <c r="D812" t="s">
        <v>247</v>
      </c>
      <c r="E812" t="s">
        <v>6</v>
      </c>
      <c r="F812" t="s">
        <v>250</v>
      </c>
      <c r="G812" t="s">
        <v>293</v>
      </c>
      <c r="H812">
        <v>9</v>
      </c>
      <c r="I812">
        <v>1558.74</v>
      </c>
      <c r="J812">
        <v>14028.66</v>
      </c>
    </row>
    <row r="813" spans="1:10">
      <c r="A813" t="s">
        <v>341</v>
      </c>
      <c r="B813" t="s">
        <v>268</v>
      </c>
      <c r="C813" t="s">
        <v>236</v>
      </c>
      <c r="D813" t="s">
        <v>237</v>
      </c>
      <c r="E813" t="s">
        <v>8</v>
      </c>
      <c r="F813" t="s">
        <v>238</v>
      </c>
      <c r="G813" t="s">
        <v>303</v>
      </c>
      <c r="H813">
        <v>11</v>
      </c>
      <c r="I813">
        <v>4382.91</v>
      </c>
      <c r="J813">
        <v>48212.01</v>
      </c>
    </row>
    <row r="814" spans="1:10">
      <c r="A814" t="s">
        <v>449</v>
      </c>
      <c r="B814" t="s">
        <v>254</v>
      </c>
      <c r="C814" t="s">
        <v>313</v>
      </c>
      <c r="D814" t="s">
        <v>252</v>
      </c>
      <c r="E814" t="s">
        <v>5</v>
      </c>
      <c r="F814" t="s">
        <v>259</v>
      </c>
      <c r="G814" t="s">
        <v>298</v>
      </c>
      <c r="H814">
        <v>6</v>
      </c>
      <c r="I814">
        <v>4197.59</v>
      </c>
      <c r="J814">
        <v>25185.54</v>
      </c>
    </row>
    <row r="815" spans="1:10">
      <c r="A815" s="26">
        <v>45018</v>
      </c>
      <c r="B815" t="s">
        <v>230</v>
      </c>
      <c r="C815" t="s">
        <v>255</v>
      </c>
      <c r="D815" t="s">
        <v>237</v>
      </c>
      <c r="E815" t="s">
        <v>8</v>
      </c>
      <c r="F815" t="s">
        <v>238</v>
      </c>
      <c r="G815" t="s">
        <v>303</v>
      </c>
      <c r="H815">
        <v>2</v>
      </c>
      <c r="I815">
        <v>4137.49</v>
      </c>
      <c r="J815">
        <v>8274.98</v>
      </c>
    </row>
    <row r="816" spans="1:10">
      <c r="A816" s="26">
        <v>45271</v>
      </c>
      <c r="B816" t="s">
        <v>260</v>
      </c>
      <c r="C816" t="s">
        <v>281</v>
      </c>
      <c r="D816" t="s">
        <v>252</v>
      </c>
      <c r="E816" t="s">
        <v>5</v>
      </c>
      <c r="F816" t="s">
        <v>259</v>
      </c>
      <c r="G816" t="s">
        <v>298</v>
      </c>
      <c r="H816">
        <v>16</v>
      </c>
      <c r="I816">
        <v>1598.06</v>
      </c>
      <c r="J816">
        <v>25568.959999999999</v>
      </c>
    </row>
    <row r="817" spans="1:10">
      <c r="A817" t="s">
        <v>480</v>
      </c>
      <c r="B817" t="s">
        <v>235</v>
      </c>
      <c r="C817" t="s">
        <v>313</v>
      </c>
      <c r="D817" t="s">
        <v>252</v>
      </c>
      <c r="E817" t="s">
        <v>5</v>
      </c>
      <c r="F817" t="s">
        <v>233</v>
      </c>
      <c r="G817" t="s">
        <v>304</v>
      </c>
      <c r="H817">
        <v>3</v>
      </c>
      <c r="I817">
        <v>3044.02</v>
      </c>
      <c r="J817">
        <v>9132.06</v>
      </c>
    </row>
    <row r="818" spans="1:10">
      <c r="A818" s="26">
        <v>45170</v>
      </c>
      <c r="B818" t="s">
        <v>230</v>
      </c>
      <c r="C818" t="s">
        <v>274</v>
      </c>
      <c r="D818" t="s">
        <v>232</v>
      </c>
      <c r="E818" t="s">
        <v>6</v>
      </c>
      <c r="F818" t="s">
        <v>245</v>
      </c>
      <c r="G818" t="s">
        <v>295</v>
      </c>
      <c r="H818">
        <v>6</v>
      </c>
      <c r="I818">
        <v>4270.03</v>
      </c>
      <c r="J818">
        <v>25620.18</v>
      </c>
    </row>
    <row r="819" spans="1:10">
      <c r="A819" s="26">
        <v>45208</v>
      </c>
      <c r="B819" t="s">
        <v>235</v>
      </c>
      <c r="C819" t="s">
        <v>274</v>
      </c>
      <c r="D819" t="s">
        <v>232</v>
      </c>
      <c r="E819" t="s">
        <v>6</v>
      </c>
      <c r="F819" t="s">
        <v>233</v>
      </c>
      <c r="G819" t="s">
        <v>304</v>
      </c>
      <c r="H819">
        <v>13</v>
      </c>
      <c r="I819">
        <v>298.08999999999997</v>
      </c>
      <c r="J819">
        <v>3875.17</v>
      </c>
    </row>
    <row r="820" spans="1:10">
      <c r="A820" t="s">
        <v>336</v>
      </c>
      <c r="B820" t="s">
        <v>260</v>
      </c>
      <c r="C820" t="s">
        <v>316</v>
      </c>
      <c r="D820" t="s">
        <v>247</v>
      </c>
      <c r="E820" t="s">
        <v>6</v>
      </c>
      <c r="F820" t="s">
        <v>259</v>
      </c>
      <c r="G820" t="s">
        <v>182</v>
      </c>
      <c r="H820">
        <v>3</v>
      </c>
      <c r="I820">
        <v>1453.68</v>
      </c>
      <c r="J820">
        <v>4361.04</v>
      </c>
    </row>
    <row r="821" spans="1:10">
      <c r="A821" t="s">
        <v>352</v>
      </c>
      <c r="B821" t="s">
        <v>271</v>
      </c>
      <c r="C821" t="s">
        <v>281</v>
      </c>
      <c r="D821" t="s">
        <v>252</v>
      </c>
      <c r="E821" t="s">
        <v>5</v>
      </c>
      <c r="F821" t="s">
        <v>238</v>
      </c>
      <c r="G821" t="s">
        <v>296</v>
      </c>
      <c r="H821">
        <v>4</v>
      </c>
      <c r="I821">
        <v>1009.78</v>
      </c>
      <c r="J821">
        <v>4039.12</v>
      </c>
    </row>
    <row r="822" spans="1:10">
      <c r="A822" s="26">
        <v>45026</v>
      </c>
      <c r="B822" t="s">
        <v>230</v>
      </c>
      <c r="C822" t="s">
        <v>244</v>
      </c>
      <c r="D822" t="s">
        <v>237</v>
      </c>
      <c r="E822" t="s">
        <v>8</v>
      </c>
      <c r="F822" t="s">
        <v>259</v>
      </c>
      <c r="G822" t="s">
        <v>179</v>
      </c>
      <c r="H822">
        <v>12</v>
      </c>
      <c r="I822">
        <v>231.07</v>
      </c>
      <c r="J822">
        <v>2772.84</v>
      </c>
    </row>
    <row r="823" spans="1:10">
      <c r="A823" s="26">
        <v>45079</v>
      </c>
      <c r="B823" t="s">
        <v>230</v>
      </c>
      <c r="C823" t="s">
        <v>231</v>
      </c>
      <c r="D823" t="s">
        <v>232</v>
      </c>
      <c r="E823" t="s">
        <v>6</v>
      </c>
      <c r="F823" t="s">
        <v>259</v>
      </c>
      <c r="G823" t="s">
        <v>182</v>
      </c>
      <c r="H823">
        <v>12</v>
      </c>
      <c r="I823">
        <v>1410.03</v>
      </c>
      <c r="J823">
        <v>16920.36</v>
      </c>
    </row>
    <row r="824" spans="1:10">
      <c r="A824" s="26">
        <v>45171</v>
      </c>
      <c r="B824" t="s">
        <v>260</v>
      </c>
      <c r="C824" t="s">
        <v>274</v>
      </c>
      <c r="D824" t="s">
        <v>232</v>
      </c>
      <c r="E824" t="s">
        <v>6</v>
      </c>
      <c r="F824" t="s">
        <v>238</v>
      </c>
      <c r="G824" t="s">
        <v>256</v>
      </c>
      <c r="H824">
        <v>6</v>
      </c>
      <c r="I824">
        <v>1610.91</v>
      </c>
      <c r="J824">
        <v>9665.4599999999991</v>
      </c>
    </row>
    <row r="825" spans="1:10">
      <c r="A825" s="26">
        <v>45109</v>
      </c>
      <c r="B825" t="s">
        <v>268</v>
      </c>
      <c r="C825" t="s">
        <v>283</v>
      </c>
      <c r="D825" t="s">
        <v>242</v>
      </c>
      <c r="E825" t="s">
        <v>8</v>
      </c>
      <c r="F825" t="s">
        <v>238</v>
      </c>
      <c r="G825" t="s">
        <v>256</v>
      </c>
      <c r="H825">
        <v>7</v>
      </c>
      <c r="I825">
        <v>3396.62</v>
      </c>
      <c r="J825">
        <v>23776.34</v>
      </c>
    </row>
    <row r="826" spans="1:10">
      <c r="A826" s="26">
        <v>45145</v>
      </c>
      <c r="B826" t="s">
        <v>280</v>
      </c>
      <c r="C826" t="s">
        <v>283</v>
      </c>
      <c r="D826" t="s">
        <v>242</v>
      </c>
      <c r="E826" t="s">
        <v>8</v>
      </c>
      <c r="F826" t="s">
        <v>238</v>
      </c>
      <c r="G826" t="s">
        <v>296</v>
      </c>
      <c r="H826">
        <v>14</v>
      </c>
      <c r="I826">
        <v>4164.33</v>
      </c>
      <c r="J826">
        <v>58300.62</v>
      </c>
    </row>
    <row r="827" spans="1:10">
      <c r="A827" t="s">
        <v>291</v>
      </c>
      <c r="B827" t="s">
        <v>280</v>
      </c>
      <c r="C827" t="s">
        <v>231</v>
      </c>
      <c r="D827" t="s">
        <v>232</v>
      </c>
      <c r="E827" t="s">
        <v>6</v>
      </c>
      <c r="F827" t="s">
        <v>233</v>
      </c>
      <c r="G827" t="s">
        <v>287</v>
      </c>
      <c r="H827">
        <v>12</v>
      </c>
      <c r="I827">
        <v>4414.2700000000004</v>
      </c>
      <c r="J827">
        <v>52971.24</v>
      </c>
    </row>
    <row r="828" spans="1:10">
      <c r="A828" t="s">
        <v>454</v>
      </c>
      <c r="B828" t="s">
        <v>268</v>
      </c>
      <c r="C828" t="s">
        <v>255</v>
      </c>
      <c r="D828" t="s">
        <v>237</v>
      </c>
      <c r="E828" t="s">
        <v>8</v>
      </c>
      <c r="F828" t="s">
        <v>245</v>
      </c>
      <c r="G828" t="s">
        <v>295</v>
      </c>
      <c r="H828">
        <v>13</v>
      </c>
      <c r="I828">
        <v>3101.42</v>
      </c>
      <c r="J828">
        <v>40318.46</v>
      </c>
    </row>
    <row r="829" spans="1:10">
      <c r="A829" t="s">
        <v>409</v>
      </c>
      <c r="B829" t="s">
        <v>271</v>
      </c>
      <c r="C829" t="s">
        <v>244</v>
      </c>
      <c r="D829" t="s">
        <v>237</v>
      </c>
      <c r="E829" t="s">
        <v>8</v>
      </c>
      <c r="F829" t="s">
        <v>238</v>
      </c>
      <c r="G829" t="s">
        <v>303</v>
      </c>
      <c r="H829">
        <v>18</v>
      </c>
      <c r="I829">
        <v>3002.55</v>
      </c>
      <c r="J829">
        <v>54045.9</v>
      </c>
    </row>
    <row r="830" spans="1:10">
      <c r="A830" s="26">
        <v>45048</v>
      </c>
      <c r="B830" t="s">
        <v>230</v>
      </c>
      <c r="C830" t="s">
        <v>273</v>
      </c>
      <c r="D830" t="s">
        <v>252</v>
      </c>
      <c r="E830" t="s">
        <v>5</v>
      </c>
      <c r="F830" t="s">
        <v>233</v>
      </c>
      <c r="G830" t="s">
        <v>234</v>
      </c>
      <c r="H830">
        <v>13</v>
      </c>
      <c r="I830">
        <v>2098.65</v>
      </c>
      <c r="J830">
        <v>27282.45</v>
      </c>
    </row>
    <row r="831" spans="1:10">
      <c r="A831" s="26">
        <v>45087</v>
      </c>
      <c r="B831" t="s">
        <v>268</v>
      </c>
      <c r="C831" t="s">
        <v>276</v>
      </c>
      <c r="D831" t="s">
        <v>247</v>
      </c>
      <c r="E831" t="s">
        <v>6</v>
      </c>
      <c r="F831" t="s">
        <v>259</v>
      </c>
      <c r="G831" t="s">
        <v>298</v>
      </c>
      <c r="H831">
        <v>5</v>
      </c>
      <c r="I831">
        <v>4106.79</v>
      </c>
      <c r="J831">
        <v>20533.95</v>
      </c>
    </row>
    <row r="832" spans="1:10">
      <c r="A832" t="s">
        <v>343</v>
      </c>
      <c r="B832" t="s">
        <v>248</v>
      </c>
      <c r="C832" t="s">
        <v>281</v>
      </c>
      <c r="D832" t="s">
        <v>252</v>
      </c>
      <c r="E832" t="s">
        <v>5</v>
      </c>
      <c r="F832" t="s">
        <v>245</v>
      </c>
      <c r="G832" t="s">
        <v>246</v>
      </c>
      <c r="H832">
        <v>1</v>
      </c>
      <c r="I832">
        <v>3041.26</v>
      </c>
      <c r="J832">
        <v>3041.26</v>
      </c>
    </row>
    <row r="833" spans="1:10">
      <c r="A833" t="s">
        <v>353</v>
      </c>
      <c r="B833" t="s">
        <v>248</v>
      </c>
      <c r="C833" t="s">
        <v>249</v>
      </c>
      <c r="D833" t="s">
        <v>232</v>
      </c>
      <c r="E833" t="s">
        <v>6</v>
      </c>
      <c r="F833" t="s">
        <v>238</v>
      </c>
      <c r="G833" t="s">
        <v>256</v>
      </c>
      <c r="H833">
        <v>7</v>
      </c>
      <c r="I833">
        <v>4514.21</v>
      </c>
      <c r="J833">
        <v>31599.47</v>
      </c>
    </row>
    <row r="834" spans="1:10">
      <c r="A834" t="s">
        <v>465</v>
      </c>
      <c r="B834" t="s">
        <v>280</v>
      </c>
      <c r="C834" t="s">
        <v>255</v>
      </c>
      <c r="D834" t="s">
        <v>237</v>
      </c>
      <c r="E834" t="s">
        <v>8</v>
      </c>
      <c r="F834" t="s">
        <v>245</v>
      </c>
      <c r="G834" t="s">
        <v>246</v>
      </c>
      <c r="H834">
        <v>18</v>
      </c>
      <c r="I834">
        <v>2971.68</v>
      </c>
      <c r="J834">
        <v>53490.239999999998</v>
      </c>
    </row>
    <row r="835" spans="1:10">
      <c r="A835" t="s">
        <v>300</v>
      </c>
      <c r="B835" t="s">
        <v>260</v>
      </c>
      <c r="C835" t="s">
        <v>258</v>
      </c>
      <c r="D835" t="s">
        <v>242</v>
      </c>
      <c r="E835" t="s">
        <v>8</v>
      </c>
      <c r="F835" t="s">
        <v>250</v>
      </c>
      <c r="G835" t="s">
        <v>251</v>
      </c>
      <c r="H835">
        <v>6</v>
      </c>
      <c r="I835">
        <v>2263.36</v>
      </c>
      <c r="J835">
        <v>13580.16</v>
      </c>
    </row>
    <row r="836" spans="1:10">
      <c r="A836" t="s">
        <v>482</v>
      </c>
      <c r="B836" t="s">
        <v>230</v>
      </c>
      <c r="C836" t="s">
        <v>236</v>
      </c>
      <c r="D836" t="s">
        <v>237</v>
      </c>
      <c r="E836" t="s">
        <v>8</v>
      </c>
      <c r="F836" t="s">
        <v>233</v>
      </c>
      <c r="G836" t="s">
        <v>301</v>
      </c>
      <c r="H836">
        <v>8</v>
      </c>
      <c r="I836">
        <v>3859.28</v>
      </c>
      <c r="J836">
        <v>30874.240000000002</v>
      </c>
    </row>
    <row r="837" spans="1:10">
      <c r="A837" t="s">
        <v>425</v>
      </c>
      <c r="B837" t="s">
        <v>268</v>
      </c>
      <c r="C837" t="s">
        <v>231</v>
      </c>
      <c r="D837" t="s">
        <v>232</v>
      </c>
      <c r="E837" t="s">
        <v>6</v>
      </c>
      <c r="F837" t="s">
        <v>233</v>
      </c>
      <c r="G837" t="s">
        <v>304</v>
      </c>
      <c r="H837">
        <v>14</v>
      </c>
      <c r="I837">
        <v>3044.71</v>
      </c>
      <c r="J837">
        <v>42625.94</v>
      </c>
    </row>
    <row r="838" spans="1:10">
      <c r="A838" t="s">
        <v>428</v>
      </c>
      <c r="B838" t="s">
        <v>248</v>
      </c>
      <c r="C838" t="s">
        <v>283</v>
      </c>
      <c r="D838" t="s">
        <v>242</v>
      </c>
      <c r="E838" t="s">
        <v>8</v>
      </c>
      <c r="F838" t="s">
        <v>238</v>
      </c>
      <c r="G838" t="s">
        <v>296</v>
      </c>
      <c r="H838">
        <v>11</v>
      </c>
      <c r="I838">
        <v>4653.38</v>
      </c>
      <c r="J838">
        <v>51187.18</v>
      </c>
    </row>
    <row r="839" spans="1:10">
      <c r="A839" s="26">
        <v>45109</v>
      </c>
      <c r="B839" t="s">
        <v>260</v>
      </c>
      <c r="C839" t="s">
        <v>258</v>
      </c>
      <c r="D839" t="s">
        <v>242</v>
      </c>
      <c r="E839" t="s">
        <v>8</v>
      </c>
      <c r="F839" t="s">
        <v>233</v>
      </c>
      <c r="G839" t="s">
        <v>304</v>
      </c>
      <c r="H839">
        <v>9</v>
      </c>
      <c r="I839">
        <v>3425.59</v>
      </c>
      <c r="J839">
        <v>30830.31</v>
      </c>
    </row>
    <row r="840" spans="1:10">
      <c r="A840" t="s">
        <v>436</v>
      </c>
      <c r="B840" t="s">
        <v>230</v>
      </c>
      <c r="C840" t="s">
        <v>249</v>
      </c>
      <c r="D840" t="s">
        <v>232</v>
      </c>
      <c r="E840" t="s">
        <v>6</v>
      </c>
      <c r="F840" t="s">
        <v>245</v>
      </c>
      <c r="G840" t="s">
        <v>246</v>
      </c>
      <c r="H840">
        <v>15</v>
      </c>
      <c r="I840">
        <v>4671.6899999999996</v>
      </c>
      <c r="J840">
        <v>70075.350000000006</v>
      </c>
    </row>
    <row r="841" spans="1:10">
      <c r="A841" t="s">
        <v>411</v>
      </c>
      <c r="B841" t="s">
        <v>235</v>
      </c>
      <c r="C841" t="s">
        <v>274</v>
      </c>
      <c r="D841" t="s">
        <v>232</v>
      </c>
      <c r="E841" t="s">
        <v>6</v>
      </c>
      <c r="F841" t="s">
        <v>238</v>
      </c>
      <c r="G841" t="s">
        <v>303</v>
      </c>
      <c r="H841">
        <v>5</v>
      </c>
      <c r="I841">
        <v>4600.38</v>
      </c>
      <c r="J841">
        <v>23001.9</v>
      </c>
    </row>
    <row r="842" spans="1:10">
      <c r="A842" s="26">
        <v>45236</v>
      </c>
      <c r="B842" t="s">
        <v>271</v>
      </c>
      <c r="C842" t="s">
        <v>255</v>
      </c>
      <c r="D842" t="s">
        <v>237</v>
      </c>
      <c r="E842" t="s">
        <v>8</v>
      </c>
      <c r="F842" t="s">
        <v>250</v>
      </c>
      <c r="G842" t="s">
        <v>293</v>
      </c>
      <c r="H842">
        <v>19</v>
      </c>
      <c r="I842">
        <v>2183.09</v>
      </c>
      <c r="J842">
        <v>41478.71</v>
      </c>
    </row>
    <row r="843" spans="1:10">
      <c r="A843" t="s">
        <v>416</v>
      </c>
      <c r="B843" t="s">
        <v>260</v>
      </c>
      <c r="C843" t="s">
        <v>244</v>
      </c>
      <c r="D843" t="s">
        <v>237</v>
      </c>
      <c r="E843" t="s">
        <v>8</v>
      </c>
      <c r="F843" t="s">
        <v>259</v>
      </c>
      <c r="G843" t="s">
        <v>182</v>
      </c>
      <c r="H843">
        <v>8</v>
      </c>
      <c r="I843">
        <v>1850.8</v>
      </c>
      <c r="J843">
        <v>14806.4</v>
      </c>
    </row>
    <row r="844" spans="1:10">
      <c r="A844" s="26">
        <v>45272</v>
      </c>
      <c r="B844" t="s">
        <v>235</v>
      </c>
      <c r="C844" t="s">
        <v>281</v>
      </c>
      <c r="D844" t="s">
        <v>252</v>
      </c>
      <c r="E844" t="s">
        <v>5</v>
      </c>
      <c r="F844" t="s">
        <v>259</v>
      </c>
      <c r="G844" t="s">
        <v>298</v>
      </c>
      <c r="H844">
        <v>12</v>
      </c>
      <c r="I844">
        <v>3695.68</v>
      </c>
      <c r="J844">
        <v>44348.160000000003</v>
      </c>
    </row>
    <row r="845" spans="1:10">
      <c r="A845" s="26">
        <v>45267</v>
      </c>
      <c r="B845" t="s">
        <v>230</v>
      </c>
      <c r="C845" t="s">
        <v>261</v>
      </c>
      <c r="D845" t="s">
        <v>247</v>
      </c>
      <c r="E845" t="s">
        <v>6</v>
      </c>
      <c r="F845" t="s">
        <v>233</v>
      </c>
      <c r="G845" t="s">
        <v>304</v>
      </c>
      <c r="H845">
        <v>14</v>
      </c>
      <c r="I845">
        <v>3099.57</v>
      </c>
      <c r="J845">
        <v>43393.98</v>
      </c>
    </row>
    <row r="846" spans="1:10">
      <c r="A846" t="s">
        <v>262</v>
      </c>
      <c r="B846" t="s">
        <v>257</v>
      </c>
      <c r="C846" t="s">
        <v>231</v>
      </c>
      <c r="D846" t="s">
        <v>232</v>
      </c>
      <c r="E846" t="s">
        <v>6</v>
      </c>
      <c r="F846" t="s">
        <v>245</v>
      </c>
      <c r="G846" t="s">
        <v>266</v>
      </c>
      <c r="H846">
        <v>1</v>
      </c>
      <c r="I846">
        <v>3758.07</v>
      </c>
      <c r="J846">
        <v>3758.07</v>
      </c>
    </row>
    <row r="847" spans="1:10">
      <c r="A847" t="s">
        <v>326</v>
      </c>
      <c r="B847" t="s">
        <v>254</v>
      </c>
      <c r="C847" t="s">
        <v>273</v>
      </c>
      <c r="D847" t="s">
        <v>252</v>
      </c>
      <c r="E847" t="s">
        <v>5</v>
      </c>
      <c r="F847" t="s">
        <v>233</v>
      </c>
      <c r="G847" t="s">
        <v>287</v>
      </c>
      <c r="H847">
        <v>5</v>
      </c>
      <c r="I847">
        <v>2536.65</v>
      </c>
      <c r="J847">
        <v>12683.25</v>
      </c>
    </row>
    <row r="848" spans="1:10">
      <c r="A848" t="s">
        <v>419</v>
      </c>
      <c r="B848" t="s">
        <v>257</v>
      </c>
      <c r="C848" t="s">
        <v>249</v>
      </c>
      <c r="D848" t="s">
        <v>232</v>
      </c>
      <c r="E848" t="s">
        <v>6</v>
      </c>
      <c r="F848" t="s">
        <v>250</v>
      </c>
      <c r="G848" t="s">
        <v>284</v>
      </c>
      <c r="H848">
        <v>9</v>
      </c>
      <c r="I848">
        <v>564.08000000000004</v>
      </c>
      <c r="J848">
        <v>5076.72</v>
      </c>
    </row>
    <row r="849" spans="1:10">
      <c r="A849" t="s">
        <v>389</v>
      </c>
      <c r="B849" t="s">
        <v>230</v>
      </c>
      <c r="C849" t="s">
        <v>241</v>
      </c>
      <c r="D849" t="s">
        <v>242</v>
      </c>
      <c r="E849" t="s">
        <v>8</v>
      </c>
      <c r="F849" t="s">
        <v>250</v>
      </c>
      <c r="G849" t="s">
        <v>277</v>
      </c>
      <c r="H849">
        <v>4</v>
      </c>
      <c r="I849">
        <v>3762.47</v>
      </c>
      <c r="J849">
        <v>15049.88</v>
      </c>
    </row>
    <row r="850" spans="1:10">
      <c r="A850" t="s">
        <v>325</v>
      </c>
      <c r="B850" t="s">
        <v>240</v>
      </c>
      <c r="C850" t="s">
        <v>316</v>
      </c>
      <c r="D850" t="s">
        <v>247</v>
      </c>
      <c r="E850" t="s">
        <v>6</v>
      </c>
      <c r="F850" t="s">
        <v>250</v>
      </c>
      <c r="G850" t="s">
        <v>293</v>
      </c>
      <c r="H850">
        <v>5</v>
      </c>
      <c r="I850">
        <v>4180.57</v>
      </c>
      <c r="J850">
        <v>20902.849999999999</v>
      </c>
    </row>
    <row r="851" spans="1:10">
      <c r="A851" t="s">
        <v>358</v>
      </c>
      <c r="B851" t="s">
        <v>260</v>
      </c>
      <c r="C851" t="s">
        <v>283</v>
      </c>
      <c r="D851" t="s">
        <v>242</v>
      </c>
      <c r="E851" t="s">
        <v>8</v>
      </c>
      <c r="F851" t="s">
        <v>233</v>
      </c>
      <c r="G851" t="s">
        <v>287</v>
      </c>
      <c r="H851">
        <v>5</v>
      </c>
      <c r="I851">
        <v>1947.01</v>
      </c>
      <c r="J851">
        <v>9735.0499999999993</v>
      </c>
    </row>
    <row r="852" spans="1:10">
      <c r="A852" t="s">
        <v>352</v>
      </c>
      <c r="B852" t="s">
        <v>230</v>
      </c>
      <c r="C852" t="s">
        <v>231</v>
      </c>
      <c r="D852" t="s">
        <v>232</v>
      </c>
      <c r="E852" t="s">
        <v>6</v>
      </c>
      <c r="F852" t="s">
        <v>245</v>
      </c>
      <c r="G852" t="s">
        <v>269</v>
      </c>
      <c r="H852">
        <v>13</v>
      </c>
      <c r="I852">
        <v>4686.21</v>
      </c>
      <c r="J852">
        <v>60920.73</v>
      </c>
    </row>
    <row r="853" spans="1:10">
      <c r="A853" t="s">
        <v>339</v>
      </c>
      <c r="B853" t="s">
        <v>240</v>
      </c>
      <c r="C853" t="s">
        <v>231</v>
      </c>
      <c r="D853" t="s">
        <v>232</v>
      </c>
      <c r="E853" t="s">
        <v>6</v>
      </c>
      <c r="F853" t="s">
        <v>233</v>
      </c>
      <c r="G853" t="s">
        <v>234</v>
      </c>
      <c r="H853">
        <v>7</v>
      </c>
      <c r="I853">
        <v>4418.17</v>
      </c>
      <c r="J853">
        <v>30927.19</v>
      </c>
    </row>
    <row r="854" spans="1:10">
      <c r="A854" s="26">
        <v>45179</v>
      </c>
      <c r="B854" t="s">
        <v>260</v>
      </c>
      <c r="C854" t="s">
        <v>274</v>
      </c>
      <c r="D854" t="s">
        <v>232</v>
      </c>
      <c r="E854" t="s">
        <v>6</v>
      </c>
      <c r="F854" t="s">
        <v>245</v>
      </c>
      <c r="G854" t="s">
        <v>295</v>
      </c>
      <c r="H854">
        <v>19</v>
      </c>
      <c r="I854">
        <v>4186.6400000000003</v>
      </c>
      <c r="J854">
        <v>79546.16</v>
      </c>
    </row>
    <row r="855" spans="1:10">
      <c r="A855" s="26">
        <v>45084</v>
      </c>
      <c r="B855" t="s">
        <v>235</v>
      </c>
      <c r="C855" t="s">
        <v>276</v>
      </c>
      <c r="D855" t="s">
        <v>247</v>
      </c>
      <c r="E855" t="s">
        <v>6</v>
      </c>
      <c r="F855" t="s">
        <v>233</v>
      </c>
      <c r="G855" t="s">
        <v>234</v>
      </c>
      <c r="H855">
        <v>6</v>
      </c>
      <c r="I855">
        <v>1003.96</v>
      </c>
      <c r="J855">
        <v>6023.76</v>
      </c>
    </row>
    <row r="856" spans="1:10">
      <c r="A856" t="s">
        <v>483</v>
      </c>
      <c r="B856" t="s">
        <v>268</v>
      </c>
      <c r="C856" t="s">
        <v>244</v>
      </c>
      <c r="D856" t="s">
        <v>237</v>
      </c>
      <c r="E856" t="s">
        <v>8</v>
      </c>
      <c r="F856" t="s">
        <v>259</v>
      </c>
      <c r="G856" t="s">
        <v>182</v>
      </c>
      <c r="H856">
        <v>13</v>
      </c>
      <c r="I856">
        <v>1028.74</v>
      </c>
      <c r="J856">
        <v>13373.62</v>
      </c>
    </row>
    <row r="857" spans="1:10">
      <c r="A857" t="s">
        <v>396</v>
      </c>
      <c r="B857" t="s">
        <v>254</v>
      </c>
      <c r="C857" t="s">
        <v>236</v>
      </c>
      <c r="D857" t="s">
        <v>237</v>
      </c>
      <c r="E857" t="s">
        <v>8</v>
      </c>
      <c r="F857" t="s">
        <v>245</v>
      </c>
      <c r="G857" t="s">
        <v>295</v>
      </c>
      <c r="H857">
        <v>20</v>
      </c>
      <c r="I857">
        <v>4751.1400000000003</v>
      </c>
      <c r="J857">
        <v>95022.8</v>
      </c>
    </row>
    <row r="858" spans="1:10">
      <c r="A858" t="s">
        <v>437</v>
      </c>
      <c r="B858" t="s">
        <v>230</v>
      </c>
      <c r="C858" t="s">
        <v>258</v>
      </c>
      <c r="D858" t="s">
        <v>242</v>
      </c>
      <c r="E858" t="s">
        <v>8</v>
      </c>
      <c r="F858" t="s">
        <v>245</v>
      </c>
      <c r="G858" t="s">
        <v>269</v>
      </c>
      <c r="H858">
        <v>8</v>
      </c>
      <c r="I858">
        <v>565.82000000000005</v>
      </c>
      <c r="J858">
        <v>4526.5600000000004</v>
      </c>
    </row>
    <row r="859" spans="1:10">
      <c r="A859" t="s">
        <v>423</v>
      </c>
      <c r="B859" t="s">
        <v>240</v>
      </c>
      <c r="C859" t="s">
        <v>274</v>
      </c>
      <c r="D859" t="s">
        <v>232</v>
      </c>
      <c r="E859" t="s">
        <v>6</v>
      </c>
      <c r="F859" t="s">
        <v>259</v>
      </c>
      <c r="G859" t="s">
        <v>298</v>
      </c>
      <c r="H859">
        <v>1</v>
      </c>
      <c r="I859">
        <v>1903.53</v>
      </c>
      <c r="J859">
        <v>1903.53</v>
      </c>
    </row>
    <row r="860" spans="1:10">
      <c r="A860" s="26">
        <v>45149</v>
      </c>
      <c r="B860" t="s">
        <v>254</v>
      </c>
      <c r="C860" t="s">
        <v>316</v>
      </c>
      <c r="D860" t="s">
        <v>247</v>
      </c>
      <c r="E860" t="s">
        <v>6</v>
      </c>
      <c r="F860" t="s">
        <v>238</v>
      </c>
      <c r="G860" t="s">
        <v>239</v>
      </c>
      <c r="H860">
        <v>20</v>
      </c>
      <c r="I860">
        <v>3286.69</v>
      </c>
      <c r="J860">
        <v>65733.8</v>
      </c>
    </row>
    <row r="861" spans="1:10">
      <c r="A861" t="s">
        <v>482</v>
      </c>
      <c r="B861" t="s">
        <v>230</v>
      </c>
      <c r="C861" t="s">
        <v>313</v>
      </c>
      <c r="D861" t="s">
        <v>252</v>
      </c>
      <c r="E861" t="s">
        <v>5</v>
      </c>
      <c r="F861" t="s">
        <v>238</v>
      </c>
      <c r="G861" t="s">
        <v>296</v>
      </c>
      <c r="H861">
        <v>20</v>
      </c>
      <c r="I861">
        <v>1176.4000000000001</v>
      </c>
      <c r="J861">
        <v>23528</v>
      </c>
    </row>
    <row r="862" spans="1:10">
      <c r="A862" t="s">
        <v>377</v>
      </c>
      <c r="B862" t="s">
        <v>230</v>
      </c>
      <c r="C862" t="s">
        <v>276</v>
      </c>
      <c r="D862" t="s">
        <v>247</v>
      </c>
      <c r="E862" t="s">
        <v>6</v>
      </c>
      <c r="F862" t="s">
        <v>238</v>
      </c>
      <c r="G862" t="s">
        <v>239</v>
      </c>
      <c r="H862">
        <v>11</v>
      </c>
      <c r="I862">
        <v>2038.9</v>
      </c>
      <c r="J862">
        <v>22427.9</v>
      </c>
    </row>
    <row r="863" spans="1:10">
      <c r="A863" s="26">
        <v>44929</v>
      </c>
      <c r="B863" t="s">
        <v>240</v>
      </c>
      <c r="C863" t="s">
        <v>236</v>
      </c>
      <c r="D863" t="s">
        <v>237</v>
      </c>
      <c r="E863" t="s">
        <v>8</v>
      </c>
      <c r="F863" t="s">
        <v>238</v>
      </c>
      <c r="G863" t="s">
        <v>303</v>
      </c>
      <c r="H863">
        <v>19</v>
      </c>
      <c r="I863">
        <v>3990.16</v>
      </c>
      <c r="J863">
        <v>75813.039999999994</v>
      </c>
    </row>
    <row r="864" spans="1:10">
      <c r="A864" t="s">
        <v>404</v>
      </c>
      <c r="B864" t="s">
        <v>280</v>
      </c>
      <c r="C864" t="s">
        <v>273</v>
      </c>
      <c r="D864" t="s">
        <v>252</v>
      </c>
      <c r="E864" t="s">
        <v>5</v>
      </c>
      <c r="F864" t="s">
        <v>245</v>
      </c>
      <c r="G864" t="s">
        <v>266</v>
      </c>
      <c r="H864">
        <v>15</v>
      </c>
      <c r="I864">
        <v>3765.36</v>
      </c>
      <c r="J864">
        <v>56480.4</v>
      </c>
    </row>
    <row r="865" spans="1:10">
      <c r="A865" t="s">
        <v>484</v>
      </c>
      <c r="B865" t="s">
        <v>248</v>
      </c>
      <c r="C865" t="s">
        <v>255</v>
      </c>
      <c r="D865" t="s">
        <v>237</v>
      </c>
      <c r="E865" t="s">
        <v>8</v>
      </c>
      <c r="F865" t="s">
        <v>245</v>
      </c>
      <c r="G865" t="s">
        <v>269</v>
      </c>
      <c r="H865">
        <v>12</v>
      </c>
      <c r="I865">
        <v>1794.88</v>
      </c>
      <c r="J865">
        <v>21538.560000000001</v>
      </c>
    </row>
    <row r="866" spans="1:10">
      <c r="A866" t="s">
        <v>485</v>
      </c>
      <c r="B866" t="s">
        <v>257</v>
      </c>
      <c r="C866" t="s">
        <v>241</v>
      </c>
      <c r="D866" t="s">
        <v>242</v>
      </c>
      <c r="E866" t="s">
        <v>8</v>
      </c>
      <c r="F866" t="s">
        <v>259</v>
      </c>
      <c r="G866" t="s">
        <v>298</v>
      </c>
      <c r="H866">
        <v>19</v>
      </c>
      <c r="I866">
        <v>2750.97</v>
      </c>
      <c r="J866">
        <v>52268.43</v>
      </c>
    </row>
    <row r="867" spans="1:10">
      <c r="A867" t="s">
        <v>300</v>
      </c>
      <c r="B867" t="s">
        <v>280</v>
      </c>
      <c r="C867" t="s">
        <v>231</v>
      </c>
      <c r="D867" t="s">
        <v>232</v>
      </c>
      <c r="E867" t="s">
        <v>6</v>
      </c>
      <c r="F867" t="s">
        <v>238</v>
      </c>
      <c r="G867" t="s">
        <v>239</v>
      </c>
      <c r="H867">
        <v>17</v>
      </c>
      <c r="I867">
        <v>3677.4</v>
      </c>
      <c r="J867">
        <v>62515.8</v>
      </c>
    </row>
    <row r="868" spans="1:10">
      <c r="A868" t="s">
        <v>286</v>
      </c>
      <c r="B868" t="s">
        <v>280</v>
      </c>
      <c r="C868" t="s">
        <v>274</v>
      </c>
      <c r="D868" t="s">
        <v>232</v>
      </c>
      <c r="E868" t="s">
        <v>6</v>
      </c>
      <c r="F868" t="s">
        <v>238</v>
      </c>
      <c r="G868" t="s">
        <v>239</v>
      </c>
      <c r="H868">
        <v>7</v>
      </c>
      <c r="I868">
        <v>2253.94</v>
      </c>
      <c r="J868">
        <v>15777.58</v>
      </c>
    </row>
    <row r="869" spans="1:10">
      <c r="A869" t="s">
        <v>392</v>
      </c>
      <c r="B869" t="s">
        <v>240</v>
      </c>
      <c r="C869" t="s">
        <v>241</v>
      </c>
      <c r="D869" t="s">
        <v>242</v>
      </c>
      <c r="E869" t="s">
        <v>8</v>
      </c>
      <c r="F869" t="s">
        <v>250</v>
      </c>
      <c r="G869" t="s">
        <v>284</v>
      </c>
      <c r="H869">
        <v>8</v>
      </c>
      <c r="I869">
        <v>1762.43</v>
      </c>
      <c r="J869">
        <v>14099.44</v>
      </c>
    </row>
    <row r="870" spans="1:10">
      <c r="A870" t="s">
        <v>282</v>
      </c>
      <c r="B870" t="s">
        <v>240</v>
      </c>
      <c r="C870" t="s">
        <v>236</v>
      </c>
      <c r="D870" t="s">
        <v>237</v>
      </c>
      <c r="E870" t="s">
        <v>8</v>
      </c>
      <c r="F870" t="s">
        <v>233</v>
      </c>
      <c r="G870" t="s">
        <v>287</v>
      </c>
      <c r="H870">
        <v>20</v>
      </c>
      <c r="I870">
        <v>278.55</v>
      </c>
      <c r="J870">
        <v>5571</v>
      </c>
    </row>
    <row r="871" spans="1:10">
      <c r="A871" t="s">
        <v>309</v>
      </c>
      <c r="B871" t="s">
        <v>230</v>
      </c>
      <c r="C871" t="s">
        <v>231</v>
      </c>
      <c r="D871" t="s">
        <v>232</v>
      </c>
      <c r="E871" t="s">
        <v>6</v>
      </c>
      <c r="F871" t="s">
        <v>233</v>
      </c>
      <c r="G871" t="s">
        <v>287</v>
      </c>
      <c r="H871">
        <v>7</v>
      </c>
      <c r="I871">
        <v>1940.86</v>
      </c>
      <c r="J871">
        <v>13586.02</v>
      </c>
    </row>
    <row r="872" spans="1:10">
      <c r="A872" s="26">
        <v>44967</v>
      </c>
      <c r="B872" t="s">
        <v>230</v>
      </c>
      <c r="C872" t="s">
        <v>236</v>
      </c>
      <c r="D872" t="s">
        <v>237</v>
      </c>
      <c r="E872" t="s">
        <v>8</v>
      </c>
      <c r="F872" t="s">
        <v>250</v>
      </c>
      <c r="G872" t="s">
        <v>277</v>
      </c>
      <c r="H872">
        <v>1</v>
      </c>
      <c r="I872">
        <v>414.64</v>
      </c>
      <c r="J872">
        <v>414.64</v>
      </c>
    </row>
    <row r="873" spans="1:10">
      <c r="A873" s="26">
        <v>45026</v>
      </c>
      <c r="B873" t="s">
        <v>240</v>
      </c>
      <c r="C873" t="s">
        <v>283</v>
      </c>
      <c r="D873" t="s">
        <v>242</v>
      </c>
      <c r="E873" t="s">
        <v>8</v>
      </c>
      <c r="F873" t="s">
        <v>238</v>
      </c>
      <c r="G873" t="s">
        <v>256</v>
      </c>
      <c r="H873">
        <v>7</v>
      </c>
      <c r="I873">
        <v>1073.54</v>
      </c>
      <c r="J873">
        <v>7514.78</v>
      </c>
    </row>
    <row r="874" spans="1:10">
      <c r="A874" s="26">
        <v>45146</v>
      </c>
      <c r="B874" t="s">
        <v>257</v>
      </c>
      <c r="C874" t="s">
        <v>236</v>
      </c>
      <c r="D874" t="s">
        <v>237</v>
      </c>
      <c r="E874" t="s">
        <v>8</v>
      </c>
      <c r="F874" t="s">
        <v>259</v>
      </c>
      <c r="G874" t="s">
        <v>299</v>
      </c>
      <c r="H874">
        <v>2</v>
      </c>
      <c r="I874">
        <v>2078.33</v>
      </c>
      <c r="J874">
        <v>4156.66</v>
      </c>
    </row>
    <row r="875" spans="1:10">
      <c r="A875" t="s">
        <v>291</v>
      </c>
      <c r="B875" t="s">
        <v>248</v>
      </c>
      <c r="C875" t="s">
        <v>313</v>
      </c>
      <c r="D875" t="s">
        <v>252</v>
      </c>
      <c r="E875" t="s">
        <v>5</v>
      </c>
      <c r="F875" t="s">
        <v>233</v>
      </c>
      <c r="G875" t="s">
        <v>301</v>
      </c>
      <c r="H875">
        <v>15</v>
      </c>
      <c r="I875">
        <v>4188.84</v>
      </c>
      <c r="J875">
        <v>62832.6</v>
      </c>
    </row>
    <row r="876" spans="1:10">
      <c r="A876" s="26">
        <v>45175</v>
      </c>
      <c r="B876" t="s">
        <v>268</v>
      </c>
      <c r="C876" t="s">
        <v>236</v>
      </c>
      <c r="D876" t="s">
        <v>237</v>
      </c>
      <c r="E876" t="s">
        <v>8</v>
      </c>
      <c r="F876" t="s">
        <v>245</v>
      </c>
      <c r="G876" t="s">
        <v>295</v>
      </c>
      <c r="H876">
        <v>16</v>
      </c>
      <c r="I876">
        <v>3046.66</v>
      </c>
      <c r="J876">
        <v>48746.559999999998</v>
      </c>
    </row>
    <row r="877" spans="1:10">
      <c r="A877" s="26">
        <v>45085</v>
      </c>
      <c r="B877" t="s">
        <v>257</v>
      </c>
      <c r="C877" t="s">
        <v>236</v>
      </c>
      <c r="D877" t="s">
        <v>237</v>
      </c>
      <c r="E877" t="s">
        <v>8</v>
      </c>
      <c r="F877" t="s">
        <v>245</v>
      </c>
      <c r="G877" t="s">
        <v>295</v>
      </c>
      <c r="H877">
        <v>13</v>
      </c>
      <c r="I877">
        <v>566.55999999999995</v>
      </c>
      <c r="J877">
        <v>7365.28</v>
      </c>
    </row>
    <row r="878" spans="1:10">
      <c r="A878" s="26">
        <v>45207</v>
      </c>
      <c r="B878" t="s">
        <v>257</v>
      </c>
      <c r="C878" t="s">
        <v>281</v>
      </c>
      <c r="D878" t="s">
        <v>252</v>
      </c>
      <c r="E878" t="s">
        <v>5</v>
      </c>
      <c r="F878" t="s">
        <v>259</v>
      </c>
      <c r="G878" t="s">
        <v>299</v>
      </c>
      <c r="H878">
        <v>9</v>
      </c>
      <c r="I878">
        <v>4726.68</v>
      </c>
      <c r="J878">
        <v>42540.12</v>
      </c>
    </row>
    <row r="879" spans="1:10">
      <c r="A879" t="s">
        <v>354</v>
      </c>
      <c r="B879" t="s">
        <v>280</v>
      </c>
      <c r="C879" t="s">
        <v>283</v>
      </c>
      <c r="D879" t="s">
        <v>242</v>
      </c>
      <c r="E879" t="s">
        <v>8</v>
      </c>
      <c r="F879" t="s">
        <v>245</v>
      </c>
      <c r="G879" t="s">
        <v>295</v>
      </c>
      <c r="H879">
        <v>15</v>
      </c>
      <c r="I879">
        <v>2503.4699999999998</v>
      </c>
      <c r="J879">
        <v>37552.050000000003</v>
      </c>
    </row>
    <row r="880" spans="1:10">
      <c r="A880" s="26">
        <v>45237</v>
      </c>
      <c r="B880" t="s">
        <v>240</v>
      </c>
      <c r="C880" t="s">
        <v>283</v>
      </c>
      <c r="D880" t="s">
        <v>242</v>
      </c>
      <c r="E880" t="s">
        <v>8</v>
      </c>
      <c r="F880" t="s">
        <v>250</v>
      </c>
      <c r="G880" t="s">
        <v>277</v>
      </c>
      <c r="H880">
        <v>13</v>
      </c>
      <c r="I880">
        <v>2244.77</v>
      </c>
      <c r="J880">
        <v>29182.01</v>
      </c>
    </row>
    <row r="881" spans="1:10">
      <c r="A881" s="26">
        <v>45242</v>
      </c>
      <c r="B881" t="s">
        <v>260</v>
      </c>
      <c r="C881" t="s">
        <v>274</v>
      </c>
      <c r="D881" t="s">
        <v>232</v>
      </c>
      <c r="E881" t="s">
        <v>6</v>
      </c>
      <c r="F881" t="s">
        <v>238</v>
      </c>
      <c r="G881" t="s">
        <v>239</v>
      </c>
      <c r="H881">
        <v>18</v>
      </c>
      <c r="I881">
        <v>3559.2</v>
      </c>
      <c r="J881">
        <v>64065.599999999999</v>
      </c>
    </row>
    <row r="882" spans="1:10">
      <c r="A882" t="s">
        <v>416</v>
      </c>
      <c r="B882" t="s">
        <v>248</v>
      </c>
      <c r="C882" t="s">
        <v>258</v>
      </c>
      <c r="D882" t="s">
        <v>242</v>
      </c>
      <c r="E882" t="s">
        <v>8</v>
      </c>
      <c r="F882" t="s">
        <v>245</v>
      </c>
      <c r="G882" t="s">
        <v>295</v>
      </c>
      <c r="H882">
        <v>16</v>
      </c>
      <c r="I882">
        <v>4238.6400000000003</v>
      </c>
      <c r="J882">
        <v>67818.240000000005</v>
      </c>
    </row>
    <row r="883" spans="1:10">
      <c r="A883" t="s">
        <v>342</v>
      </c>
      <c r="B883" t="s">
        <v>254</v>
      </c>
      <c r="C883" t="s">
        <v>249</v>
      </c>
      <c r="D883" t="s">
        <v>232</v>
      </c>
      <c r="E883" t="s">
        <v>6</v>
      </c>
      <c r="F883" t="s">
        <v>245</v>
      </c>
      <c r="G883" t="s">
        <v>295</v>
      </c>
      <c r="H883">
        <v>13</v>
      </c>
      <c r="I883">
        <v>151.65</v>
      </c>
      <c r="J883">
        <v>1971.45</v>
      </c>
    </row>
    <row r="884" spans="1:10">
      <c r="A884" s="26">
        <v>45175</v>
      </c>
      <c r="B884" t="s">
        <v>230</v>
      </c>
      <c r="C884" t="s">
        <v>249</v>
      </c>
      <c r="D884" t="s">
        <v>232</v>
      </c>
      <c r="E884" t="s">
        <v>6</v>
      </c>
      <c r="F884" t="s">
        <v>233</v>
      </c>
      <c r="G884" t="s">
        <v>304</v>
      </c>
      <c r="H884">
        <v>11</v>
      </c>
      <c r="I884">
        <v>4242.8999999999996</v>
      </c>
      <c r="J884">
        <v>46671.9</v>
      </c>
    </row>
    <row r="885" spans="1:10">
      <c r="A885" t="s">
        <v>348</v>
      </c>
      <c r="B885" t="s">
        <v>235</v>
      </c>
      <c r="C885" t="s">
        <v>276</v>
      </c>
      <c r="D885" t="s">
        <v>247</v>
      </c>
      <c r="E885" t="s">
        <v>6</v>
      </c>
      <c r="F885" t="s">
        <v>250</v>
      </c>
      <c r="G885" t="s">
        <v>251</v>
      </c>
      <c r="H885">
        <v>9</v>
      </c>
      <c r="I885">
        <v>4639.93</v>
      </c>
      <c r="J885">
        <v>41759.370000000003</v>
      </c>
    </row>
    <row r="886" spans="1:10">
      <c r="A886" t="s">
        <v>456</v>
      </c>
      <c r="B886" t="s">
        <v>260</v>
      </c>
      <c r="C886" t="s">
        <v>244</v>
      </c>
      <c r="D886" t="s">
        <v>237</v>
      </c>
      <c r="E886" t="s">
        <v>8</v>
      </c>
      <c r="F886" t="s">
        <v>245</v>
      </c>
      <c r="G886" t="s">
        <v>266</v>
      </c>
      <c r="H886">
        <v>4</v>
      </c>
      <c r="I886">
        <v>4336.92</v>
      </c>
      <c r="J886">
        <v>17347.68</v>
      </c>
    </row>
    <row r="887" spans="1:10">
      <c r="A887" t="s">
        <v>315</v>
      </c>
      <c r="B887" t="s">
        <v>230</v>
      </c>
      <c r="C887" t="s">
        <v>273</v>
      </c>
      <c r="D887" t="s">
        <v>252</v>
      </c>
      <c r="E887" t="s">
        <v>5</v>
      </c>
      <c r="F887" t="s">
        <v>233</v>
      </c>
      <c r="G887" t="s">
        <v>234</v>
      </c>
      <c r="H887">
        <v>17</v>
      </c>
      <c r="I887">
        <v>1005.44</v>
      </c>
      <c r="J887">
        <v>17092.48</v>
      </c>
    </row>
    <row r="888" spans="1:10">
      <c r="A888" s="26">
        <v>45233</v>
      </c>
      <c r="B888" t="s">
        <v>235</v>
      </c>
      <c r="C888" t="s">
        <v>258</v>
      </c>
      <c r="D888" t="s">
        <v>242</v>
      </c>
      <c r="E888" t="s">
        <v>8</v>
      </c>
      <c r="F888" t="s">
        <v>233</v>
      </c>
      <c r="G888" t="s">
        <v>301</v>
      </c>
      <c r="H888">
        <v>18</v>
      </c>
      <c r="I888">
        <v>2231.56</v>
      </c>
      <c r="J888">
        <v>40168.080000000002</v>
      </c>
    </row>
    <row r="889" spans="1:10">
      <c r="A889" s="26">
        <v>45237</v>
      </c>
      <c r="B889" t="s">
        <v>230</v>
      </c>
      <c r="C889" t="s">
        <v>274</v>
      </c>
      <c r="D889" t="s">
        <v>232</v>
      </c>
      <c r="E889" t="s">
        <v>6</v>
      </c>
      <c r="F889" t="s">
        <v>233</v>
      </c>
      <c r="G889" t="s">
        <v>287</v>
      </c>
      <c r="H889">
        <v>14</v>
      </c>
      <c r="I889">
        <v>3677.67</v>
      </c>
      <c r="J889">
        <v>51487.38</v>
      </c>
    </row>
    <row r="890" spans="1:10">
      <c r="A890" t="s">
        <v>324</v>
      </c>
      <c r="B890" t="s">
        <v>240</v>
      </c>
      <c r="C890" t="s">
        <v>244</v>
      </c>
      <c r="D890" t="s">
        <v>237</v>
      </c>
      <c r="E890" t="s">
        <v>8</v>
      </c>
      <c r="F890" t="s">
        <v>259</v>
      </c>
      <c r="G890" t="s">
        <v>299</v>
      </c>
      <c r="H890">
        <v>6</v>
      </c>
      <c r="I890">
        <v>1047.72</v>
      </c>
      <c r="J890">
        <v>6286.32</v>
      </c>
    </row>
    <row r="891" spans="1:10">
      <c r="A891" t="s">
        <v>363</v>
      </c>
      <c r="B891" t="s">
        <v>235</v>
      </c>
      <c r="C891" t="s">
        <v>244</v>
      </c>
      <c r="D891" t="s">
        <v>237</v>
      </c>
      <c r="E891" t="s">
        <v>8</v>
      </c>
      <c r="F891" t="s">
        <v>238</v>
      </c>
      <c r="G891" t="s">
        <v>303</v>
      </c>
      <c r="H891">
        <v>20</v>
      </c>
      <c r="I891">
        <v>827.08</v>
      </c>
      <c r="J891">
        <v>16541.599999999999</v>
      </c>
    </row>
    <row r="892" spans="1:10">
      <c r="A892" t="s">
        <v>466</v>
      </c>
      <c r="B892" t="s">
        <v>235</v>
      </c>
      <c r="C892" t="s">
        <v>283</v>
      </c>
      <c r="D892" t="s">
        <v>242</v>
      </c>
      <c r="E892" t="s">
        <v>8</v>
      </c>
      <c r="F892" t="s">
        <v>238</v>
      </c>
      <c r="G892" t="s">
        <v>256</v>
      </c>
      <c r="H892">
        <v>19</v>
      </c>
      <c r="I892">
        <v>1726.65</v>
      </c>
      <c r="J892">
        <v>32806.35</v>
      </c>
    </row>
    <row r="893" spans="1:10">
      <c r="A893" s="26">
        <v>45143</v>
      </c>
      <c r="B893" t="s">
        <v>254</v>
      </c>
      <c r="C893" t="s">
        <v>241</v>
      </c>
      <c r="D893" t="s">
        <v>242</v>
      </c>
      <c r="E893" t="s">
        <v>8</v>
      </c>
      <c r="F893" t="s">
        <v>238</v>
      </c>
      <c r="G893" t="s">
        <v>296</v>
      </c>
      <c r="H893">
        <v>17</v>
      </c>
      <c r="I893">
        <v>2339.5700000000002</v>
      </c>
      <c r="J893">
        <v>39772.69</v>
      </c>
    </row>
    <row r="894" spans="1:10">
      <c r="A894" s="26">
        <v>44962</v>
      </c>
      <c r="B894" t="s">
        <v>254</v>
      </c>
      <c r="C894" t="s">
        <v>244</v>
      </c>
      <c r="D894" t="s">
        <v>237</v>
      </c>
      <c r="E894" t="s">
        <v>8</v>
      </c>
      <c r="F894" t="s">
        <v>245</v>
      </c>
      <c r="G894" t="s">
        <v>266</v>
      </c>
      <c r="H894">
        <v>8</v>
      </c>
      <c r="I894">
        <v>4984.96</v>
      </c>
      <c r="J894">
        <v>39879.68</v>
      </c>
    </row>
    <row r="895" spans="1:10">
      <c r="A895" s="26">
        <v>45021</v>
      </c>
      <c r="B895" t="s">
        <v>280</v>
      </c>
      <c r="C895" t="s">
        <v>281</v>
      </c>
      <c r="D895" t="s">
        <v>252</v>
      </c>
      <c r="E895" t="s">
        <v>5</v>
      </c>
      <c r="F895" t="s">
        <v>259</v>
      </c>
      <c r="G895" t="s">
        <v>298</v>
      </c>
      <c r="H895">
        <v>17</v>
      </c>
      <c r="I895">
        <v>3259.21</v>
      </c>
      <c r="J895">
        <v>55406.57</v>
      </c>
    </row>
    <row r="896" spans="1:10">
      <c r="A896" t="s">
        <v>396</v>
      </c>
      <c r="B896" t="s">
        <v>235</v>
      </c>
      <c r="C896" t="s">
        <v>236</v>
      </c>
      <c r="D896" t="s">
        <v>237</v>
      </c>
      <c r="E896" t="s">
        <v>8</v>
      </c>
      <c r="F896" t="s">
        <v>233</v>
      </c>
      <c r="G896" t="s">
        <v>234</v>
      </c>
      <c r="H896">
        <v>7</v>
      </c>
      <c r="I896">
        <v>4847.62</v>
      </c>
      <c r="J896">
        <v>33933.339999999997</v>
      </c>
    </row>
    <row r="897" spans="1:10">
      <c r="A897" t="s">
        <v>486</v>
      </c>
      <c r="B897" t="s">
        <v>240</v>
      </c>
      <c r="C897" t="s">
        <v>255</v>
      </c>
      <c r="D897" t="s">
        <v>237</v>
      </c>
      <c r="E897" t="s">
        <v>8</v>
      </c>
      <c r="F897" t="s">
        <v>250</v>
      </c>
      <c r="G897" t="s">
        <v>277</v>
      </c>
      <c r="H897">
        <v>6</v>
      </c>
      <c r="I897">
        <v>2260.16</v>
      </c>
      <c r="J897">
        <v>13560.96</v>
      </c>
    </row>
    <row r="898" spans="1:10">
      <c r="A898" s="26">
        <v>45269</v>
      </c>
      <c r="B898" t="s">
        <v>257</v>
      </c>
      <c r="C898" t="s">
        <v>313</v>
      </c>
      <c r="D898" t="s">
        <v>252</v>
      </c>
      <c r="E898" t="s">
        <v>5</v>
      </c>
      <c r="F898" t="s">
        <v>233</v>
      </c>
      <c r="G898" t="s">
        <v>287</v>
      </c>
      <c r="H898">
        <v>16</v>
      </c>
      <c r="I898">
        <v>1795.37</v>
      </c>
      <c r="J898">
        <v>28725.919999999998</v>
      </c>
    </row>
    <row r="899" spans="1:10">
      <c r="A899" s="26">
        <v>44990</v>
      </c>
      <c r="B899" t="s">
        <v>257</v>
      </c>
      <c r="C899" t="s">
        <v>316</v>
      </c>
      <c r="D899" t="s">
        <v>247</v>
      </c>
      <c r="E899" t="s">
        <v>6</v>
      </c>
      <c r="F899" t="s">
        <v>259</v>
      </c>
      <c r="G899" t="s">
        <v>299</v>
      </c>
      <c r="H899">
        <v>19</v>
      </c>
      <c r="I899">
        <v>2040.79</v>
      </c>
      <c r="J899">
        <v>38775.01</v>
      </c>
    </row>
    <row r="900" spans="1:10">
      <c r="A900" t="s">
        <v>487</v>
      </c>
      <c r="B900" t="s">
        <v>271</v>
      </c>
      <c r="C900" t="s">
        <v>283</v>
      </c>
      <c r="D900" t="s">
        <v>242</v>
      </c>
      <c r="E900" t="s">
        <v>8</v>
      </c>
      <c r="F900" t="s">
        <v>233</v>
      </c>
      <c r="G900" t="s">
        <v>304</v>
      </c>
      <c r="H900">
        <v>13</v>
      </c>
      <c r="I900">
        <v>1764.64</v>
      </c>
      <c r="J900">
        <v>22940.32</v>
      </c>
    </row>
    <row r="901" spans="1:10">
      <c r="A901" t="s">
        <v>479</v>
      </c>
      <c r="B901" t="s">
        <v>230</v>
      </c>
      <c r="C901" t="s">
        <v>236</v>
      </c>
      <c r="D901" t="s">
        <v>237</v>
      </c>
      <c r="E901" t="s">
        <v>8</v>
      </c>
      <c r="F901" t="s">
        <v>250</v>
      </c>
      <c r="G901" t="s">
        <v>277</v>
      </c>
      <c r="H901">
        <v>6</v>
      </c>
      <c r="I901">
        <v>746.23</v>
      </c>
      <c r="J901">
        <v>4477.38</v>
      </c>
    </row>
    <row r="902" spans="1:10">
      <c r="A902" s="26">
        <v>45210</v>
      </c>
      <c r="B902" t="s">
        <v>240</v>
      </c>
      <c r="C902" t="s">
        <v>313</v>
      </c>
      <c r="D902" t="s">
        <v>252</v>
      </c>
      <c r="E902" t="s">
        <v>5</v>
      </c>
      <c r="F902" t="s">
        <v>233</v>
      </c>
      <c r="G902" t="s">
        <v>301</v>
      </c>
      <c r="H902">
        <v>14</v>
      </c>
      <c r="I902">
        <v>2385.9899999999998</v>
      </c>
      <c r="J902">
        <v>33403.86</v>
      </c>
    </row>
    <row r="903" spans="1:10">
      <c r="A903" s="26">
        <v>45264</v>
      </c>
      <c r="B903" t="s">
        <v>230</v>
      </c>
      <c r="C903" t="s">
        <v>316</v>
      </c>
      <c r="D903" t="s">
        <v>247</v>
      </c>
      <c r="E903" t="s">
        <v>6</v>
      </c>
      <c r="F903" t="s">
        <v>259</v>
      </c>
      <c r="G903" t="s">
        <v>179</v>
      </c>
      <c r="H903">
        <v>1</v>
      </c>
      <c r="I903">
        <v>2362.15</v>
      </c>
      <c r="J903">
        <v>2362.15</v>
      </c>
    </row>
    <row r="904" spans="1:10">
      <c r="A904" t="s">
        <v>319</v>
      </c>
      <c r="B904" t="s">
        <v>257</v>
      </c>
      <c r="C904" t="s">
        <v>313</v>
      </c>
      <c r="D904" t="s">
        <v>252</v>
      </c>
      <c r="E904" t="s">
        <v>5</v>
      </c>
      <c r="F904" t="s">
        <v>245</v>
      </c>
      <c r="G904" t="s">
        <v>266</v>
      </c>
      <c r="H904">
        <v>16</v>
      </c>
      <c r="I904">
        <v>1236.8</v>
      </c>
      <c r="J904">
        <v>19788.8</v>
      </c>
    </row>
    <row r="905" spans="1:10">
      <c r="A905" s="26">
        <v>45140</v>
      </c>
      <c r="B905" t="s">
        <v>248</v>
      </c>
      <c r="C905" t="s">
        <v>313</v>
      </c>
      <c r="D905" t="s">
        <v>252</v>
      </c>
      <c r="E905" t="s">
        <v>5</v>
      </c>
      <c r="F905" t="s">
        <v>259</v>
      </c>
      <c r="G905" t="s">
        <v>182</v>
      </c>
      <c r="H905">
        <v>17</v>
      </c>
      <c r="I905">
        <v>1248.03</v>
      </c>
      <c r="J905">
        <v>21216.51</v>
      </c>
    </row>
    <row r="906" spans="1:10">
      <c r="A906" s="26">
        <v>44991</v>
      </c>
      <c r="B906" t="s">
        <v>271</v>
      </c>
      <c r="C906" t="s">
        <v>281</v>
      </c>
      <c r="D906" t="s">
        <v>252</v>
      </c>
      <c r="E906" t="s">
        <v>5</v>
      </c>
      <c r="F906" t="s">
        <v>238</v>
      </c>
      <c r="G906" t="s">
        <v>256</v>
      </c>
      <c r="H906">
        <v>16</v>
      </c>
      <c r="I906">
        <v>665.83</v>
      </c>
      <c r="J906">
        <v>10653.28</v>
      </c>
    </row>
    <row r="907" spans="1:10">
      <c r="A907" s="26">
        <v>45082</v>
      </c>
      <c r="B907" t="s">
        <v>230</v>
      </c>
      <c r="C907" t="s">
        <v>274</v>
      </c>
      <c r="D907" t="s">
        <v>232</v>
      </c>
      <c r="E907" t="s">
        <v>6</v>
      </c>
      <c r="F907" t="s">
        <v>259</v>
      </c>
      <c r="G907" t="s">
        <v>298</v>
      </c>
      <c r="H907">
        <v>16</v>
      </c>
      <c r="I907">
        <v>615.70000000000005</v>
      </c>
      <c r="J907">
        <v>9851.2000000000007</v>
      </c>
    </row>
    <row r="908" spans="1:10">
      <c r="A908" t="s">
        <v>322</v>
      </c>
      <c r="B908" t="s">
        <v>260</v>
      </c>
      <c r="C908" t="s">
        <v>283</v>
      </c>
      <c r="D908" t="s">
        <v>242</v>
      </c>
      <c r="E908" t="s">
        <v>8</v>
      </c>
      <c r="F908" t="s">
        <v>238</v>
      </c>
      <c r="G908" t="s">
        <v>303</v>
      </c>
      <c r="H908">
        <v>13</v>
      </c>
      <c r="I908">
        <v>3616.99</v>
      </c>
      <c r="J908">
        <v>47020.87</v>
      </c>
    </row>
    <row r="909" spans="1:10">
      <c r="A909" s="26">
        <v>45144</v>
      </c>
      <c r="B909" t="s">
        <v>280</v>
      </c>
      <c r="C909" t="s">
        <v>244</v>
      </c>
      <c r="D909" t="s">
        <v>237</v>
      </c>
      <c r="E909" t="s">
        <v>8</v>
      </c>
      <c r="F909" t="s">
        <v>245</v>
      </c>
      <c r="G909" t="s">
        <v>266</v>
      </c>
      <c r="H909">
        <v>9</v>
      </c>
      <c r="I909">
        <v>1940.11</v>
      </c>
      <c r="J909">
        <v>17460.990000000002</v>
      </c>
    </row>
    <row r="910" spans="1:10">
      <c r="A910" t="s">
        <v>315</v>
      </c>
      <c r="B910" t="s">
        <v>268</v>
      </c>
      <c r="C910" t="s">
        <v>244</v>
      </c>
      <c r="D910" t="s">
        <v>237</v>
      </c>
      <c r="E910" t="s">
        <v>8</v>
      </c>
      <c r="F910" t="s">
        <v>259</v>
      </c>
      <c r="G910" t="s">
        <v>182</v>
      </c>
      <c r="H910">
        <v>16</v>
      </c>
      <c r="I910">
        <v>1064.93</v>
      </c>
      <c r="J910">
        <v>17038.88</v>
      </c>
    </row>
    <row r="911" spans="1:10">
      <c r="A911" s="26">
        <v>45232</v>
      </c>
      <c r="B911" t="s">
        <v>268</v>
      </c>
      <c r="C911" t="s">
        <v>249</v>
      </c>
      <c r="D911" t="s">
        <v>232</v>
      </c>
      <c r="E911" t="s">
        <v>6</v>
      </c>
      <c r="F911" t="s">
        <v>245</v>
      </c>
      <c r="G911" t="s">
        <v>295</v>
      </c>
      <c r="H911">
        <v>2</v>
      </c>
      <c r="I911">
        <v>4845.74</v>
      </c>
      <c r="J911">
        <v>9691.48</v>
      </c>
    </row>
    <row r="912" spans="1:10">
      <c r="A912" t="s">
        <v>396</v>
      </c>
      <c r="B912" t="s">
        <v>248</v>
      </c>
      <c r="C912" t="s">
        <v>258</v>
      </c>
      <c r="D912" t="s">
        <v>242</v>
      </c>
      <c r="E912" t="s">
        <v>8</v>
      </c>
      <c r="F912" t="s">
        <v>250</v>
      </c>
      <c r="G912" t="s">
        <v>293</v>
      </c>
      <c r="H912">
        <v>3</v>
      </c>
      <c r="I912">
        <v>4766.28</v>
      </c>
      <c r="J912">
        <v>14298.84</v>
      </c>
    </row>
    <row r="913" spans="1:10">
      <c r="A913" s="26">
        <v>45233</v>
      </c>
      <c r="B913" t="s">
        <v>235</v>
      </c>
      <c r="C913" t="s">
        <v>313</v>
      </c>
      <c r="D913" t="s">
        <v>252</v>
      </c>
      <c r="E913" t="s">
        <v>5</v>
      </c>
      <c r="F913" t="s">
        <v>245</v>
      </c>
      <c r="G913" t="s">
        <v>295</v>
      </c>
      <c r="H913">
        <v>15</v>
      </c>
      <c r="I913">
        <v>3946.23</v>
      </c>
      <c r="J913">
        <v>59193.45</v>
      </c>
    </row>
    <row r="914" spans="1:10">
      <c r="A914" s="26">
        <v>45145</v>
      </c>
      <c r="B914" t="s">
        <v>260</v>
      </c>
      <c r="C914" t="s">
        <v>261</v>
      </c>
      <c r="D914" t="s">
        <v>247</v>
      </c>
      <c r="E914" t="s">
        <v>6</v>
      </c>
      <c r="F914" t="s">
        <v>245</v>
      </c>
      <c r="G914" t="s">
        <v>266</v>
      </c>
      <c r="H914">
        <v>12</v>
      </c>
      <c r="I914">
        <v>1804.27</v>
      </c>
      <c r="J914">
        <v>21651.24</v>
      </c>
    </row>
    <row r="915" spans="1:10">
      <c r="A915" t="s">
        <v>488</v>
      </c>
      <c r="B915" t="s">
        <v>254</v>
      </c>
      <c r="C915" t="s">
        <v>231</v>
      </c>
      <c r="D915" t="s">
        <v>232</v>
      </c>
      <c r="E915" t="s">
        <v>6</v>
      </c>
      <c r="F915" t="s">
        <v>259</v>
      </c>
      <c r="G915" t="s">
        <v>179</v>
      </c>
      <c r="H915">
        <v>3</v>
      </c>
      <c r="I915">
        <v>2055.4499999999998</v>
      </c>
      <c r="J915">
        <v>6166.35</v>
      </c>
    </row>
    <row r="916" spans="1:10">
      <c r="A916" s="26">
        <v>45056</v>
      </c>
      <c r="B916" t="s">
        <v>254</v>
      </c>
      <c r="C916" t="s">
        <v>313</v>
      </c>
      <c r="D916" t="s">
        <v>252</v>
      </c>
      <c r="E916" t="s">
        <v>5</v>
      </c>
      <c r="F916" t="s">
        <v>233</v>
      </c>
      <c r="G916" t="s">
        <v>287</v>
      </c>
      <c r="H916">
        <v>5</v>
      </c>
      <c r="I916">
        <v>1568.68</v>
      </c>
      <c r="J916">
        <v>7843.4</v>
      </c>
    </row>
    <row r="917" spans="1:10">
      <c r="A917" t="s">
        <v>302</v>
      </c>
      <c r="B917" t="s">
        <v>257</v>
      </c>
      <c r="C917" t="s">
        <v>258</v>
      </c>
      <c r="D917" t="s">
        <v>242</v>
      </c>
      <c r="E917" t="s">
        <v>8</v>
      </c>
      <c r="F917" t="s">
        <v>233</v>
      </c>
      <c r="G917" t="s">
        <v>301</v>
      </c>
      <c r="H917">
        <v>16</v>
      </c>
      <c r="I917">
        <v>2288.6799999999998</v>
      </c>
      <c r="J917">
        <v>36618.879999999997</v>
      </c>
    </row>
    <row r="918" spans="1:10">
      <c r="A918" s="26">
        <v>45113</v>
      </c>
      <c r="B918" t="s">
        <v>271</v>
      </c>
      <c r="C918" t="s">
        <v>244</v>
      </c>
      <c r="D918" t="s">
        <v>237</v>
      </c>
      <c r="E918" t="s">
        <v>8</v>
      </c>
      <c r="F918" t="s">
        <v>233</v>
      </c>
      <c r="G918" t="s">
        <v>304</v>
      </c>
      <c r="H918">
        <v>12</v>
      </c>
      <c r="I918">
        <v>2133.0500000000002</v>
      </c>
      <c r="J918">
        <v>25596.6</v>
      </c>
    </row>
    <row r="919" spans="1:10">
      <c r="A919" s="26">
        <v>45050</v>
      </c>
      <c r="B919" t="s">
        <v>271</v>
      </c>
      <c r="C919" t="s">
        <v>274</v>
      </c>
      <c r="D919" t="s">
        <v>232</v>
      </c>
      <c r="E919" t="s">
        <v>6</v>
      </c>
      <c r="F919" t="s">
        <v>250</v>
      </c>
      <c r="G919" t="s">
        <v>284</v>
      </c>
      <c r="H919">
        <v>4</v>
      </c>
      <c r="I919">
        <v>1208.42</v>
      </c>
      <c r="J919">
        <v>4833.68</v>
      </c>
    </row>
    <row r="920" spans="1:10">
      <c r="A920" s="26">
        <v>45175</v>
      </c>
      <c r="B920" t="s">
        <v>271</v>
      </c>
      <c r="C920" t="s">
        <v>273</v>
      </c>
      <c r="D920" t="s">
        <v>252</v>
      </c>
      <c r="E920" t="s">
        <v>5</v>
      </c>
      <c r="F920" t="s">
        <v>238</v>
      </c>
      <c r="G920" t="s">
        <v>239</v>
      </c>
      <c r="H920">
        <v>14</v>
      </c>
      <c r="I920">
        <v>630.45000000000005</v>
      </c>
      <c r="J920">
        <v>8826.2999999999993</v>
      </c>
    </row>
    <row r="921" spans="1:10">
      <c r="A921" t="s">
        <v>397</v>
      </c>
      <c r="B921" t="s">
        <v>254</v>
      </c>
      <c r="C921" t="s">
        <v>231</v>
      </c>
      <c r="D921" t="s">
        <v>232</v>
      </c>
      <c r="E921" t="s">
        <v>6</v>
      </c>
      <c r="F921" t="s">
        <v>245</v>
      </c>
      <c r="G921" t="s">
        <v>246</v>
      </c>
      <c r="H921">
        <v>14</v>
      </c>
      <c r="I921">
        <v>2713.47</v>
      </c>
      <c r="J921">
        <v>37988.58</v>
      </c>
    </row>
    <row r="922" spans="1:10">
      <c r="A922" s="26">
        <v>45173</v>
      </c>
      <c r="B922" t="s">
        <v>230</v>
      </c>
      <c r="C922" t="s">
        <v>273</v>
      </c>
      <c r="D922" t="s">
        <v>252</v>
      </c>
      <c r="E922" t="s">
        <v>5</v>
      </c>
      <c r="F922" t="s">
        <v>233</v>
      </c>
      <c r="G922" t="s">
        <v>304</v>
      </c>
      <c r="H922">
        <v>7</v>
      </c>
      <c r="I922">
        <v>3273.61</v>
      </c>
      <c r="J922">
        <v>22915.27</v>
      </c>
    </row>
    <row r="923" spans="1:10">
      <c r="A923" t="s">
        <v>433</v>
      </c>
      <c r="B923" t="s">
        <v>254</v>
      </c>
      <c r="C923" t="s">
        <v>274</v>
      </c>
      <c r="D923" t="s">
        <v>232</v>
      </c>
      <c r="E923" t="s">
        <v>6</v>
      </c>
      <c r="F923" t="s">
        <v>245</v>
      </c>
      <c r="G923" t="s">
        <v>269</v>
      </c>
      <c r="H923">
        <v>9</v>
      </c>
      <c r="I923">
        <v>566.91999999999996</v>
      </c>
      <c r="J923">
        <v>5102.28</v>
      </c>
    </row>
    <row r="924" spans="1:10">
      <c r="A924" t="s">
        <v>460</v>
      </c>
      <c r="B924" t="s">
        <v>268</v>
      </c>
      <c r="C924" t="s">
        <v>258</v>
      </c>
      <c r="D924" t="s">
        <v>242</v>
      </c>
      <c r="E924" t="s">
        <v>8</v>
      </c>
      <c r="F924" t="s">
        <v>259</v>
      </c>
      <c r="G924" t="s">
        <v>182</v>
      </c>
      <c r="H924">
        <v>2</v>
      </c>
      <c r="I924">
        <v>3830.39</v>
      </c>
      <c r="J924">
        <v>7660.78</v>
      </c>
    </row>
    <row r="925" spans="1:10">
      <c r="A925" t="s">
        <v>480</v>
      </c>
      <c r="B925" t="s">
        <v>248</v>
      </c>
      <c r="C925" t="s">
        <v>274</v>
      </c>
      <c r="D925" t="s">
        <v>232</v>
      </c>
      <c r="E925" t="s">
        <v>6</v>
      </c>
      <c r="F925" t="s">
        <v>259</v>
      </c>
      <c r="G925" t="s">
        <v>298</v>
      </c>
      <c r="H925">
        <v>7</v>
      </c>
      <c r="I925">
        <v>4456.5</v>
      </c>
      <c r="J925">
        <v>31195.5</v>
      </c>
    </row>
    <row r="926" spans="1:10">
      <c r="A926" t="s">
        <v>489</v>
      </c>
      <c r="B926" t="s">
        <v>230</v>
      </c>
      <c r="C926" t="s">
        <v>255</v>
      </c>
      <c r="D926" t="s">
        <v>237</v>
      </c>
      <c r="E926" t="s">
        <v>8</v>
      </c>
      <c r="F926" t="s">
        <v>238</v>
      </c>
      <c r="G926" t="s">
        <v>296</v>
      </c>
      <c r="H926">
        <v>15</v>
      </c>
      <c r="I926">
        <v>202.66</v>
      </c>
      <c r="J926">
        <v>3039.9</v>
      </c>
    </row>
    <row r="927" spans="1:10">
      <c r="A927" t="s">
        <v>315</v>
      </c>
      <c r="B927" t="s">
        <v>268</v>
      </c>
      <c r="C927" t="s">
        <v>231</v>
      </c>
      <c r="D927" t="s">
        <v>232</v>
      </c>
      <c r="E927" t="s">
        <v>6</v>
      </c>
      <c r="F927" t="s">
        <v>245</v>
      </c>
      <c r="G927" t="s">
        <v>266</v>
      </c>
      <c r="H927">
        <v>10</v>
      </c>
      <c r="I927">
        <v>1018.19</v>
      </c>
      <c r="J927">
        <v>10181.9</v>
      </c>
    </row>
    <row r="928" spans="1:10">
      <c r="A928" s="26">
        <v>45050</v>
      </c>
      <c r="B928" t="s">
        <v>230</v>
      </c>
      <c r="C928" t="s">
        <v>261</v>
      </c>
      <c r="D928" t="s">
        <v>247</v>
      </c>
      <c r="E928" t="s">
        <v>6</v>
      </c>
      <c r="F928" t="s">
        <v>245</v>
      </c>
      <c r="G928" t="s">
        <v>266</v>
      </c>
      <c r="H928">
        <v>4</v>
      </c>
      <c r="I928">
        <v>3300.36</v>
      </c>
      <c r="J928">
        <v>13201.44</v>
      </c>
    </row>
    <row r="929" spans="1:10">
      <c r="A929" t="s">
        <v>490</v>
      </c>
      <c r="B929" t="s">
        <v>235</v>
      </c>
      <c r="C929" t="s">
        <v>313</v>
      </c>
      <c r="D929" t="s">
        <v>252</v>
      </c>
      <c r="E929" t="s">
        <v>5</v>
      </c>
      <c r="F929" t="s">
        <v>245</v>
      </c>
      <c r="G929" t="s">
        <v>266</v>
      </c>
      <c r="H929">
        <v>12</v>
      </c>
      <c r="I929">
        <v>957.01</v>
      </c>
      <c r="J929">
        <v>11484.12</v>
      </c>
    </row>
    <row r="930" spans="1:10">
      <c r="A930" t="s">
        <v>342</v>
      </c>
      <c r="B930" t="s">
        <v>235</v>
      </c>
      <c r="C930" t="s">
        <v>255</v>
      </c>
      <c r="D930" t="s">
        <v>237</v>
      </c>
      <c r="E930" t="s">
        <v>8</v>
      </c>
      <c r="F930" t="s">
        <v>250</v>
      </c>
      <c r="G930" t="s">
        <v>277</v>
      </c>
      <c r="H930">
        <v>19</v>
      </c>
      <c r="I930">
        <v>1933.19</v>
      </c>
      <c r="J930">
        <v>36730.61</v>
      </c>
    </row>
    <row r="931" spans="1:10">
      <c r="A931" t="s">
        <v>454</v>
      </c>
      <c r="B931" t="s">
        <v>240</v>
      </c>
      <c r="C931" t="s">
        <v>273</v>
      </c>
      <c r="D931" t="s">
        <v>252</v>
      </c>
      <c r="E931" t="s">
        <v>5</v>
      </c>
      <c r="F931" t="s">
        <v>233</v>
      </c>
      <c r="G931" t="s">
        <v>304</v>
      </c>
      <c r="H931">
        <v>15</v>
      </c>
      <c r="I931">
        <v>834.13</v>
      </c>
      <c r="J931">
        <v>12511.95</v>
      </c>
    </row>
    <row r="932" spans="1:10">
      <c r="A932" t="s">
        <v>323</v>
      </c>
      <c r="B932" t="s">
        <v>257</v>
      </c>
      <c r="C932" t="s">
        <v>258</v>
      </c>
      <c r="D932" t="s">
        <v>242</v>
      </c>
      <c r="E932" t="s">
        <v>8</v>
      </c>
      <c r="F932" t="s">
        <v>238</v>
      </c>
      <c r="G932" t="s">
        <v>296</v>
      </c>
      <c r="H932">
        <v>18</v>
      </c>
      <c r="I932">
        <v>2535.8200000000002</v>
      </c>
      <c r="J932">
        <v>45644.76</v>
      </c>
    </row>
    <row r="933" spans="1:10">
      <c r="A933" s="26">
        <v>45202</v>
      </c>
      <c r="B933" t="s">
        <v>235</v>
      </c>
      <c r="C933" t="s">
        <v>255</v>
      </c>
      <c r="D933" t="s">
        <v>237</v>
      </c>
      <c r="E933" t="s">
        <v>8</v>
      </c>
      <c r="F933" t="s">
        <v>250</v>
      </c>
      <c r="G933" t="s">
        <v>293</v>
      </c>
      <c r="H933">
        <v>18</v>
      </c>
      <c r="I933">
        <v>2299.9299999999998</v>
      </c>
      <c r="J933">
        <v>41398.74</v>
      </c>
    </row>
    <row r="934" spans="1:10">
      <c r="A934" t="s">
        <v>243</v>
      </c>
      <c r="B934" t="s">
        <v>257</v>
      </c>
      <c r="C934" t="s">
        <v>261</v>
      </c>
      <c r="D934" t="s">
        <v>247</v>
      </c>
      <c r="E934" t="s">
        <v>6</v>
      </c>
      <c r="F934" t="s">
        <v>233</v>
      </c>
      <c r="G934" t="s">
        <v>287</v>
      </c>
      <c r="H934">
        <v>5</v>
      </c>
      <c r="I934">
        <v>606.49</v>
      </c>
      <c r="J934">
        <v>3032.45</v>
      </c>
    </row>
    <row r="935" spans="1:10">
      <c r="A935" t="s">
        <v>379</v>
      </c>
      <c r="B935" t="s">
        <v>254</v>
      </c>
      <c r="C935" t="s">
        <v>283</v>
      </c>
      <c r="D935" t="s">
        <v>242</v>
      </c>
      <c r="E935" t="s">
        <v>8</v>
      </c>
      <c r="F935" t="s">
        <v>238</v>
      </c>
      <c r="G935" t="s">
        <v>256</v>
      </c>
      <c r="H935">
        <v>6</v>
      </c>
      <c r="I935">
        <v>1919.03</v>
      </c>
      <c r="J935">
        <v>11514.18</v>
      </c>
    </row>
    <row r="936" spans="1:10">
      <c r="A936" s="26">
        <v>44963</v>
      </c>
      <c r="B936" t="s">
        <v>230</v>
      </c>
      <c r="C936" t="s">
        <v>283</v>
      </c>
      <c r="D936" t="s">
        <v>242</v>
      </c>
      <c r="E936" t="s">
        <v>8</v>
      </c>
      <c r="F936" t="s">
        <v>238</v>
      </c>
      <c r="G936" t="s">
        <v>296</v>
      </c>
      <c r="H936">
        <v>9</v>
      </c>
      <c r="I936">
        <v>662.41</v>
      </c>
      <c r="J936">
        <v>5961.69</v>
      </c>
    </row>
    <row r="937" spans="1:10">
      <c r="A937" s="26">
        <v>45170</v>
      </c>
      <c r="B937" t="s">
        <v>280</v>
      </c>
      <c r="C937" t="s">
        <v>244</v>
      </c>
      <c r="D937" t="s">
        <v>237</v>
      </c>
      <c r="E937" t="s">
        <v>8</v>
      </c>
      <c r="F937" t="s">
        <v>238</v>
      </c>
      <c r="G937" t="s">
        <v>303</v>
      </c>
      <c r="H937">
        <v>18</v>
      </c>
      <c r="I937">
        <v>970.52</v>
      </c>
      <c r="J937">
        <v>17469.36</v>
      </c>
    </row>
    <row r="938" spans="1:10">
      <c r="A938" s="26">
        <v>45056</v>
      </c>
      <c r="B938" t="s">
        <v>271</v>
      </c>
      <c r="C938" t="s">
        <v>313</v>
      </c>
      <c r="D938" t="s">
        <v>252</v>
      </c>
      <c r="E938" t="s">
        <v>5</v>
      </c>
      <c r="F938" t="s">
        <v>259</v>
      </c>
      <c r="G938" t="s">
        <v>298</v>
      </c>
      <c r="H938">
        <v>2</v>
      </c>
      <c r="I938">
        <v>4112.53</v>
      </c>
      <c r="J938">
        <v>8225.06</v>
      </c>
    </row>
    <row r="939" spans="1:10">
      <c r="A939" s="26">
        <v>45021</v>
      </c>
      <c r="B939" t="s">
        <v>257</v>
      </c>
      <c r="C939" t="s">
        <v>258</v>
      </c>
      <c r="D939" t="s">
        <v>242</v>
      </c>
      <c r="E939" t="s">
        <v>8</v>
      </c>
      <c r="F939" t="s">
        <v>259</v>
      </c>
      <c r="G939" t="s">
        <v>298</v>
      </c>
      <c r="H939">
        <v>4</v>
      </c>
      <c r="I939">
        <v>4968.93</v>
      </c>
      <c r="J939">
        <v>19875.72</v>
      </c>
    </row>
    <row r="940" spans="1:10">
      <c r="A940" t="s">
        <v>426</v>
      </c>
      <c r="B940" t="s">
        <v>260</v>
      </c>
      <c r="C940" t="s">
        <v>241</v>
      </c>
      <c r="D940" t="s">
        <v>242</v>
      </c>
      <c r="E940" t="s">
        <v>8</v>
      </c>
      <c r="F940" t="s">
        <v>245</v>
      </c>
      <c r="G940" t="s">
        <v>269</v>
      </c>
      <c r="H940">
        <v>2</v>
      </c>
      <c r="I940">
        <v>339.56</v>
      </c>
      <c r="J940">
        <v>679.12</v>
      </c>
    </row>
    <row r="941" spans="1:10">
      <c r="A941" t="s">
        <v>455</v>
      </c>
      <c r="B941" t="s">
        <v>235</v>
      </c>
      <c r="C941" t="s">
        <v>258</v>
      </c>
      <c r="D941" t="s">
        <v>242</v>
      </c>
      <c r="E941" t="s">
        <v>8</v>
      </c>
      <c r="F941" t="s">
        <v>238</v>
      </c>
      <c r="G941" t="s">
        <v>239</v>
      </c>
      <c r="H941">
        <v>3</v>
      </c>
      <c r="I941">
        <v>3853.05</v>
      </c>
      <c r="J941">
        <v>11559.15</v>
      </c>
    </row>
    <row r="942" spans="1:10">
      <c r="A942" t="s">
        <v>338</v>
      </c>
      <c r="B942" t="s">
        <v>240</v>
      </c>
      <c r="C942" t="s">
        <v>273</v>
      </c>
      <c r="D942" t="s">
        <v>252</v>
      </c>
      <c r="E942" t="s">
        <v>5</v>
      </c>
      <c r="F942" t="s">
        <v>245</v>
      </c>
      <c r="G942" t="s">
        <v>246</v>
      </c>
      <c r="H942">
        <v>11</v>
      </c>
      <c r="I942">
        <v>2212.9</v>
      </c>
      <c r="J942">
        <v>24341.9</v>
      </c>
    </row>
    <row r="943" spans="1:10">
      <c r="A943" s="26">
        <v>45113</v>
      </c>
      <c r="B943" t="s">
        <v>268</v>
      </c>
      <c r="C943" t="s">
        <v>255</v>
      </c>
      <c r="D943" t="s">
        <v>237</v>
      </c>
      <c r="E943" t="s">
        <v>8</v>
      </c>
      <c r="F943" t="s">
        <v>238</v>
      </c>
      <c r="G943" t="s">
        <v>303</v>
      </c>
      <c r="H943">
        <v>18</v>
      </c>
      <c r="I943">
        <v>509.79</v>
      </c>
      <c r="J943">
        <v>9176.2199999999993</v>
      </c>
    </row>
    <row r="944" spans="1:10">
      <c r="A944" s="26">
        <v>45052</v>
      </c>
      <c r="B944" t="s">
        <v>280</v>
      </c>
      <c r="C944" t="s">
        <v>241</v>
      </c>
      <c r="D944" t="s">
        <v>242</v>
      </c>
      <c r="E944" t="s">
        <v>8</v>
      </c>
      <c r="F944" t="s">
        <v>233</v>
      </c>
      <c r="G944" t="s">
        <v>287</v>
      </c>
      <c r="H944">
        <v>16</v>
      </c>
      <c r="I944">
        <v>2724.77</v>
      </c>
      <c r="J944">
        <v>43596.32</v>
      </c>
    </row>
    <row r="945" spans="1:10">
      <c r="A945" t="s">
        <v>485</v>
      </c>
      <c r="B945" t="s">
        <v>271</v>
      </c>
      <c r="C945" t="s">
        <v>231</v>
      </c>
      <c r="D945" t="s">
        <v>232</v>
      </c>
      <c r="E945" t="s">
        <v>6</v>
      </c>
      <c r="F945" t="s">
        <v>245</v>
      </c>
      <c r="G945" t="s">
        <v>266</v>
      </c>
      <c r="H945">
        <v>18</v>
      </c>
      <c r="I945">
        <v>4718.22</v>
      </c>
      <c r="J945">
        <v>84927.96</v>
      </c>
    </row>
    <row r="946" spans="1:10">
      <c r="A946" t="s">
        <v>359</v>
      </c>
      <c r="B946" t="s">
        <v>271</v>
      </c>
      <c r="C946" t="s">
        <v>244</v>
      </c>
      <c r="D946" t="s">
        <v>237</v>
      </c>
      <c r="E946" t="s">
        <v>8</v>
      </c>
      <c r="F946" t="s">
        <v>259</v>
      </c>
      <c r="G946" t="s">
        <v>299</v>
      </c>
      <c r="H946">
        <v>9</v>
      </c>
      <c r="I946">
        <v>4811.76</v>
      </c>
      <c r="J946">
        <v>43305.84</v>
      </c>
    </row>
    <row r="947" spans="1:10">
      <c r="A947" s="26">
        <v>45108</v>
      </c>
      <c r="B947" t="s">
        <v>230</v>
      </c>
      <c r="C947" t="s">
        <v>255</v>
      </c>
      <c r="D947" t="s">
        <v>237</v>
      </c>
      <c r="E947" t="s">
        <v>8</v>
      </c>
      <c r="F947" t="s">
        <v>233</v>
      </c>
      <c r="G947" t="s">
        <v>304</v>
      </c>
      <c r="H947">
        <v>8</v>
      </c>
      <c r="I947">
        <v>4021.86</v>
      </c>
      <c r="J947">
        <v>32174.880000000001</v>
      </c>
    </row>
    <row r="948" spans="1:10">
      <c r="A948" t="s">
        <v>405</v>
      </c>
      <c r="B948" t="s">
        <v>280</v>
      </c>
      <c r="C948" t="s">
        <v>258</v>
      </c>
      <c r="D948" t="s">
        <v>242</v>
      </c>
      <c r="E948" t="s">
        <v>8</v>
      </c>
      <c r="F948" t="s">
        <v>233</v>
      </c>
      <c r="G948" t="s">
        <v>287</v>
      </c>
      <c r="H948">
        <v>16</v>
      </c>
      <c r="I948">
        <v>4008.72</v>
      </c>
      <c r="J948">
        <v>64139.519999999997</v>
      </c>
    </row>
    <row r="949" spans="1:10">
      <c r="A949" t="s">
        <v>380</v>
      </c>
      <c r="B949" t="s">
        <v>230</v>
      </c>
      <c r="C949" t="s">
        <v>276</v>
      </c>
      <c r="D949" t="s">
        <v>247</v>
      </c>
      <c r="E949" t="s">
        <v>6</v>
      </c>
      <c r="F949" t="s">
        <v>233</v>
      </c>
      <c r="G949" t="s">
        <v>304</v>
      </c>
      <c r="H949">
        <v>14</v>
      </c>
      <c r="I949">
        <v>4793.38</v>
      </c>
      <c r="J949">
        <v>67107.320000000007</v>
      </c>
    </row>
    <row r="950" spans="1:10">
      <c r="A950" t="s">
        <v>476</v>
      </c>
      <c r="B950" t="s">
        <v>257</v>
      </c>
      <c r="C950" t="s">
        <v>281</v>
      </c>
      <c r="D950" t="s">
        <v>252</v>
      </c>
      <c r="E950" t="s">
        <v>5</v>
      </c>
      <c r="F950" t="s">
        <v>233</v>
      </c>
      <c r="G950" t="s">
        <v>301</v>
      </c>
      <c r="H950">
        <v>14</v>
      </c>
      <c r="I950">
        <v>4816.3900000000003</v>
      </c>
      <c r="J950">
        <v>67429.460000000006</v>
      </c>
    </row>
    <row r="951" spans="1:10">
      <c r="A951" t="s">
        <v>329</v>
      </c>
      <c r="B951" t="s">
        <v>254</v>
      </c>
      <c r="C951" t="s">
        <v>316</v>
      </c>
      <c r="D951" t="s">
        <v>247</v>
      </c>
      <c r="E951" t="s">
        <v>6</v>
      </c>
      <c r="F951" t="s">
        <v>233</v>
      </c>
      <c r="G951" t="s">
        <v>234</v>
      </c>
      <c r="H951">
        <v>6</v>
      </c>
      <c r="I951">
        <v>4072.51</v>
      </c>
      <c r="J951">
        <v>24435.06</v>
      </c>
    </row>
    <row r="952" spans="1:10">
      <c r="A952" s="26">
        <v>45263</v>
      </c>
      <c r="B952" t="s">
        <v>260</v>
      </c>
      <c r="C952" t="s">
        <v>249</v>
      </c>
      <c r="D952" t="s">
        <v>232</v>
      </c>
      <c r="E952" t="s">
        <v>6</v>
      </c>
      <c r="F952" t="s">
        <v>250</v>
      </c>
      <c r="G952" t="s">
        <v>293</v>
      </c>
      <c r="H952">
        <v>2</v>
      </c>
      <c r="I952">
        <v>1269.81</v>
      </c>
      <c r="J952">
        <v>2539.62</v>
      </c>
    </row>
    <row r="953" spans="1:10">
      <c r="A953" t="s">
        <v>397</v>
      </c>
      <c r="B953" t="s">
        <v>268</v>
      </c>
      <c r="C953" t="s">
        <v>316</v>
      </c>
      <c r="D953" t="s">
        <v>247</v>
      </c>
      <c r="E953" t="s">
        <v>6</v>
      </c>
      <c r="F953" t="s">
        <v>250</v>
      </c>
      <c r="G953" t="s">
        <v>284</v>
      </c>
      <c r="H953">
        <v>13</v>
      </c>
      <c r="I953">
        <v>3071.93</v>
      </c>
      <c r="J953">
        <v>39935.089999999997</v>
      </c>
    </row>
    <row r="954" spans="1:10">
      <c r="A954" t="s">
        <v>349</v>
      </c>
      <c r="B954" t="s">
        <v>248</v>
      </c>
      <c r="C954" t="s">
        <v>261</v>
      </c>
      <c r="D954" t="s">
        <v>247</v>
      </c>
      <c r="E954" t="s">
        <v>6</v>
      </c>
      <c r="F954" t="s">
        <v>245</v>
      </c>
      <c r="G954" t="s">
        <v>246</v>
      </c>
      <c r="H954">
        <v>5</v>
      </c>
      <c r="I954">
        <v>4686.67</v>
      </c>
      <c r="J954">
        <v>23433.35</v>
      </c>
    </row>
    <row r="955" spans="1:10">
      <c r="A955" t="s">
        <v>317</v>
      </c>
      <c r="B955" t="s">
        <v>280</v>
      </c>
      <c r="C955" t="s">
        <v>231</v>
      </c>
      <c r="D955" t="s">
        <v>232</v>
      </c>
      <c r="E955" t="s">
        <v>6</v>
      </c>
      <c r="F955" t="s">
        <v>233</v>
      </c>
      <c r="G955" t="s">
        <v>301</v>
      </c>
      <c r="H955">
        <v>5</v>
      </c>
      <c r="I955">
        <v>4504.17</v>
      </c>
      <c r="J955">
        <v>22520.85</v>
      </c>
    </row>
    <row r="956" spans="1:10">
      <c r="A956" t="s">
        <v>328</v>
      </c>
      <c r="B956" t="s">
        <v>230</v>
      </c>
      <c r="C956" t="s">
        <v>241</v>
      </c>
      <c r="D956" t="s">
        <v>242</v>
      </c>
      <c r="E956" t="s">
        <v>8</v>
      </c>
      <c r="F956" t="s">
        <v>233</v>
      </c>
      <c r="G956" t="s">
        <v>234</v>
      </c>
      <c r="H956">
        <v>3</v>
      </c>
      <c r="I956">
        <v>559.70000000000005</v>
      </c>
      <c r="J956">
        <v>1679.1</v>
      </c>
    </row>
    <row r="957" spans="1:10">
      <c r="A957" t="s">
        <v>394</v>
      </c>
      <c r="B957" t="s">
        <v>240</v>
      </c>
      <c r="C957" t="s">
        <v>258</v>
      </c>
      <c r="D957" t="s">
        <v>242</v>
      </c>
      <c r="E957" t="s">
        <v>8</v>
      </c>
      <c r="F957" t="s">
        <v>250</v>
      </c>
      <c r="G957" t="s">
        <v>277</v>
      </c>
      <c r="H957">
        <v>17</v>
      </c>
      <c r="I957">
        <v>1975.71</v>
      </c>
      <c r="J957">
        <v>33587.07</v>
      </c>
    </row>
    <row r="958" spans="1:10">
      <c r="A958" s="26">
        <v>45180</v>
      </c>
      <c r="B958" t="s">
        <v>248</v>
      </c>
      <c r="C958" t="s">
        <v>281</v>
      </c>
      <c r="D958" t="s">
        <v>252</v>
      </c>
      <c r="E958" t="s">
        <v>5</v>
      </c>
      <c r="F958" t="s">
        <v>233</v>
      </c>
      <c r="G958" t="s">
        <v>234</v>
      </c>
      <c r="H958">
        <v>8</v>
      </c>
      <c r="I958">
        <v>4175.5600000000004</v>
      </c>
      <c r="J958">
        <v>33404.480000000003</v>
      </c>
    </row>
    <row r="959" spans="1:10">
      <c r="A959" t="s">
        <v>345</v>
      </c>
      <c r="B959" t="s">
        <v>230</v>
      </c>
      <c r="C959" t="s">
        <v>258</v>
      </c>
      <c r="D959" t="s">
        <v>242</v>
      </c>
      <c r="E959" t="s">
        <v>8</v>
      </c>
      <c r="F959" t="s">
        <v>259</v>
      </c>
      <c r="G959" t="s">
        <v>298</v>
      </c>
      <c r="H959">
        <v>14</v>
      </c>
      <c r="I959">
        <v>2535.08</v>
      </c>
      <c r="J959">
        <v>35491.120000000003</v>
      </c>
    </row>
    <row r="960" spans="1:10">
      <c r="A960" s="26">
        <v>45023</v>
      </c>
      <c r="B960" t="s">
        <v>254</v>
      </c>
      <c r="C960" t="s">
        <v>255</v>
      </c>
      <c r="D960" t="s">
        <v>237</v>
      </c>
      <c r="E960" t="s">
        <v>8</v>
      </c>
      <c r="F960" t="s">
        <v>259</v>
      </c>
      <c r="G960" t="s">
        <v>179</v>
      </c>
      <c r="H960">
        <v>14</v>
      </c>
      <c r="I960">
        <v>2161.65</v>
      </c>
      <c r="J960">
        <v>30263.1</v>
      </c>
    </row>
    <row r="961" spans="1:10">
      <c r="A961" s="26">
        <v>45087</v>
      </c>
      <c r="B961" t="s">
        <v>254</v>
      </c>
      <c r="C961" t="s">
        <v>281</v>
      </c>
      <c r="D961" t="s">
        <v>252</v>
      </c>
      <c r="E961" t="s">
        <v>5</v>
      </c>
      <c r="F961" t="s">
        <v>259</v>
      </c>
      <c r="G961" t="s">
        <v>299</v>
      </c>
      <c r="H961">
        <v>11</v>
      </c>
      <c r="I961">
        <v>3424.45</v>
      </c>
      <c r="J961">
        <v>37668.949999999997</v>
      </c>
    </row>
    <row r="962" spans="1:10">
      <c r="A962" t="s">
        <v>491</v>
      </c>
      <c r="B962" t="s">
        <v>260</v>
      </c>
      <c r="C962" t="s">
        <v>316</v>
      </c>
      <c r="D962" t="s">
        <v>247</v>
      </c>
      <c r="E962" t="s">
        <v>6</v>
      </c>
      <c r="F962" t="s">
        <v>250</v>
      </c>
      <c r="G962" t="s">
        <v>251</v>
      </c>
      <c r="H962">
        <v>10</v>
      </c>
      <c r="I962">
        <v>1167.21</v>
      </c>
      <c r="J962">
        <v>11672.1</v>
      </c>
    </row>
    <row r="963" spans="1:10">
      <c r="A963" t="s">
        <v>346</v>
      </c>
      <c r="B963" t="s">
        <v>268</v>
      </c>
      <c r="C963" t="s">
        <v>316</v>
      </c>
      <c r="D963" t="s">
        <v>247</v>
      </c>
      <c r="E963" t="s">
        <v>6</v>
      </c>
      <c r="F963" t="s">
        <v>238</v>
      </c>
      <c r="G963" t="s">
        <v>239</v>
      </c>
      <c r="H963">
        <v>7</v>
      </c>
      <c r="I963">
        <v>500.63</v>
      </c>
      <c r="J963">
        <v>3504.41</v>
      </c>
    </row>
    <row r="964" spans="1:10">
      <c r="A964" s="26">
        <v>45027</v>
      </c>
      <c r="B964" t="s">
        <v>257</v>
      </c>
      <c r="C964" t="s">
        <v>273</v>
      </c>
      <c r="D964" t="s">
        <v>252</v>
      </c>
      <c r="E964" t="s">
        <v>5</v>
      </c>
      <c r="F964" t="s">
        <v>233</v>
      </c>
      <c r="G964" t="s">
        <v>304</v>
      </c>
      <c r="H964">
        <v>10</v>
      </c>
      <c r="I964">
        <v>1050.8399999999999</v>
      </c>
      <c r="J964">
        <v>10508.4</v>
      </c>
    </row>
    <row r="965" spans="1:10">
      <c r="A965" t="s">
        <v>396</v>
      </c>
      <c r="B965" t="s">
        <v>280</v>
      </c>
      <c r="C965" t="s">
        <v>283</v>
      </c>
      <c r="D965" t="s">
        <v>242</v>
      </c>
      <c r="E965" t="s">
        <v>8</v>
      </c>
      <c r="F965" t="s">
        <v>233</v>
      </c>
      <c r="G965" t="s">
        <v>301</v>
      </c>
      <c r="H965">
        <v>14</v>
      </c>
      <c r="I965">
        <v>3726.3</v>
      </c>
      <c r="J965">
        <v>52168.2</v>
      </c>
    </row>
    <row r="966" spans="1:10">
      <c r="A966" t="s">
        <v>243</v>
      </c>
      <c r="B966" t="s">
        <v>248</v>
      </c>
      <c r="C966" t="s">
        <v>255</v>
      </c>
      <c r="D966" t="s">
        <v>237</v>
      </c>
      <c r="E966" t="s">
        <v>8</v>
      </c>
      <c r="F966" t="s">
        <v>245</v>
      </c>
      <c r="G966" t="s">
        <v>266</v>
      </c>
      <c r="H966">
        <v>10</v>
      </c>
      <c r="I966">
        <v>651.83000000000004</v>
      </c>
      <c r="J966">
        <v>6518.3</v>
      </c>
    </row>
    <row r="967" spans="1:10">
      <c r="A967" t="s">
        <v>428</v>
      </c>
      <c r="B967" t="s">
        <v>260</v>
      </c>
      <c r="C967" t="s">
        <v>274</v>
      </c>
      <c r="D967" t="s">
        <v>232</v>
      </c>
      <c r="E967" t="s">
        <v>6</v>
      </c>
      <c r="F967" t="s">
        <v>233</v>
      </c>
      <c r="G967" t="s">
        <v>304</v>
      </c>
      <c r="H967">
        <v>4</v>
      </c>
      <c r="I967">
        <v>1077.23</v>
      </c>
      <c r="J967">
        <v>4308.92</v>
      </c>
    </row>
    <row r="968" spans="1:10">
      <c r="A968" t="s">
        <v>336</v>
      </c>
      <c r="B968" t="s">
        <v>280</v>
      </c>
      <c r="C968" t="s">
        <v>273</v>
      </c>
      <c r="D968" t="s">
        <v>252</v>
      </c>
      <c r="E968" t="s">
        <v>5</v>
      </c>
      <c r="F968" t="s">
        <v>259</v>
      </c>
      <c r="G968" t="s">
        <v>182</v>
      </c>
      <c r="H968">
        <v>15</v>
      </c>
      <c r="I968">
        <v>4554.78</v>
      </c>
      <c r="J968">
        <v>68321.7</v>
      </c>
    </row>
    <row r="969" spans="1:10">
      <c r="A969" t="s">
        <v>318</v>
      </c>
      <c r="B969" t="s">
        <v>254</v>
      </c>
      <c r="C969" t="s">
        <v>276</v>
      </c>
      <c r="D969" t="s">
        <v>247</v>
      </c>
      <c r="E969" t="s">
        <v>6</v>
      </c>
      <c r="F969" t="s">
        <v>238</v>
      </c>
      <c r="G969" t="s">
        <v>296</v>
      </c>
      <c r="H969">
        <v>19</v>
      </c>
      <c r="I969">
        <v>1003.13</v>
      </c>
      <c r="J969">
        <v>19059.47</v>
      </c>
    </row>
    <row r="970" spans="1:10">
      <c r="A970" t="s">
        <v>492</v>
      </c>
      <c r="B970" t="s">
        <v>230</v>
      </c>
      <c r="C970" t="s">
        <v>283</v>
      </c>
      <c r="D970" t="s">
        <v>242</v>
      </c>
      <c r="E970" t="s">
        <v>8</v>
      </c>
      <c r="F970" t="s">
        <v>250</v>
      </c>
      <c r="G970" t="s">
        <v>277</v>
      </c>
      <c r="H970">
        <v>7</v>
      </c>
      <c r="I970">
        <v>3168.77</v>
      </c>
      <c r="J970">
        <v>22181.39</v>
      </c>
    </row>
    <row r="971" spans="1:10">
      <c r="A971" t="s">
        <v>388</v>
      </c>
      <c r="B971" t="s">
        <v>254</v>
      </c>
      <c r="C971" t="s">
        <v>273</v>
      </c>
      <c r="D971" t="s">
        <v>252</v>
      </c>
      <c r="E971" t="s">
        <v>5</v>
      </c>
      <c r="F971" t="s">
        <v>238</v>
      </c>
      <c r="G971" t="s">
        <v>256</v>
      </c>
      <c r="H971">
        <v>19</v>
      </c>
      <c r="I971">
        <v>4528.95</v>
      </c>
      <c r="J971">
        <v>86050.05</v>
      </c>
    </row>
    <row r="972" spans="1:10">
      <c r="A972" t="s">
        <v>423</v>
      </c>
      <c r="B972" t="s">
        <v>240</v>
      </c>
      <c r="C972" t="s">
        <v>283</v>
      </c>
      <c r="D972" t="s">
        <v>242</v>
      </c>
      <c r="E972" t="s">
        <v>8</v>
      </c>
      <c r="F972" t="s">
        <v>259</v>
      </c>
      <c r="G972" t="s">
        <v>182</v>
      </c>
      <c r="H972">
        <v>5</v>
      </c>
      <c r="I972">
        <v>2480.84</v>
      </c>
      <c r="J972">
        <v>12404.2</v>
      </c>
    </row>
    <row r="973" spans="1:10">
      <c r="A973" s="26">
        <v>45051</v>
      </c>
      <c r="B973" t="s">
        <v>268</v>
      </c>
      <c r="C973" t="s">
        <v>313</v>
      </c>
      <c r="D973" t="s">
        <v>252</v>
      </c>
      <c r="E973" t="s">
        <v>5</v>
      </c>
      <c r="F973" t="s">
        <v>245</v>
      </c>
      <c r="G973" t="s">
        <v>295</v>
      </c>
      <c r="H973">
        <v>11</v>
      </c>
      <c r="I973">
        <v>4740.79</v>
      </c>
      <c r="J973">
        <v>52148.69</v>
      </c>
    </row>
    <row r="974" spans="1:10">
      <c r="A974" t="s">
        <v>327</v>
      </c>
      <c r="B974" t="s">
        <v>257</v>
      </c>
      <c r="C974" t="s">
        <v>313</v>
      </c>
      <c r="D974" t="s">
        <v>252</v>
      </c>
      <c r="E974" t="s">
        <v>5</v>
      </c>
      <c r="F974" t="s">
        <v>250</v>
      </c>
      <c r="G974" t="s">
        <v>251</v>
      </c>
      <c r="H974">
        <v>16</v>
      </c>
      <c r="I974">
        <v>2687.77</v>
      </c>
      <c r="J974">
        <v>43004.32</v>
      </c>
    </row>
    <row r="975" spans="1:10">
      <c r="A975" s="26">
        <v>45024</v>
      </c>
      <c r="B975" t="s">
        <v>254</v>
      </c>
      <c r="C975" t="s">
        <v>244</v>
      </c>
      <c r="D975" t="s">
        <v>237</v>
      </c>
      <c r="E975" t="s">
        <v>8</v>
      </c>
      <c r="F975" t="s">
        <v>250</v>
      </c>
      <c r="G975" t="s">
        <v>277</v>
      </c>
      <c r="H975">
        <v>15</v>
      </c>
      <c r="I975">
        <v>2472.8000000000002</v>
      </c>
      <c r="J975">
        <v>37092</v>
      </c>
    </row>
    <row r="976" spans="1:10">
      <c r="A976" t="s">
        <v>264</v>
      </c>
      <c r="B976" t="s">
        <v>280</v>
      </c>
      <c r="C976" t="s">
        <v>313</v>
      </c>
      <c r="D976" t="s">
        <v>252</v>
      </c>
      <c r="E976" t="s">
        <v>5</v>
      </c>
      <c r="F976" t="s">
        <v>233</v>
      </c>
      <c r="G976" t="s">
        <v>234</v>
      </c>
      <c r="H976">
        <v>3</v>
      </c>
      <c r="I976">
        <v>3814.12</v>
      </c>
      <c r="J976">
        <v>11442.36</v>
      </c>
    </row>
    <row r="977" spans="1:10">
      <c r="A977" t="s">
        <v>441</v>
      </c>
      <c r="B977" t="s">
        <v>280</v>
      </c>
      <c r="C977" t="s">
        <v>261</v>
      </c>
      <c r="D977" t="s">
        <v>247</v>
      </c>
      <c r="E977" t="s">
        <v>6</v>
      </c>
      <c r="F977" t="s">
        <v>233</v>
      </c>
      <c r="G977" t="s">
        <v>287</v>
      </c>
      <c r="H977">
        <v>1</v>
      </c>
      <c r="I977">
        <v>2333.7800000000002</v>
      </c>
      <c r="J977">
        <v>2333.7800000000002</v>
      </c>
    </row>
    <row r="978" spans="1:10">
      <c r="A978" t="s">
        <v>405</v>
      </c>
      <c r="B978" t="s">
        <v>248</v>
      </c>
      <c r="C978" t="s">
        <v>231</v>
      </c>
      <c r="D978" t="s">
        <v>232</v>
      </c>
      <c r="E978" t="s">
        <v>6</v>
      </c>
      <c r="F978" t="s">
        <v>250</v>
      </c>
      <c r="G978" t="s">
        <v>251</v>
      </c>
      <c r="H978">
        <v>10</v>
      </c>
      <c r="I978">
        <v>2628.56</v>
      </c>
      <c r="J978">
        <v>26285.599999999999</v>
      </c>
    </row>
    <row r="979" spans="1:10">
      <c r="A979" t="s">
        <v>469</v>
      </c>
      <c r="B979" t="s">
        <v>240</v>
      </c>
      <c r="C979" t="s">
        <v>244</v>
      </c>
      <c r="D979" t="s">
        <v>237</v>
      </c>
      <c r="E979" t="s">
        <v>8</v>
      </c>
      <c r="F979" t="s">
        <v>259</v>
      </c>
      <c r="G979" t="s">
        <v>179</v>
      </c>
      <c r="H979">
        <v>16</v>
      </c>
      <c r="I979">
        <v>284.02</v>
      </c>
      <c r="J979">
        <v>4544.32</v>
      </c>
    </row>
    <row r="980" spans="1:10">
      <c r="A980" t="s">
        <v>290</v>
      </c>
      <c r="B980" t="s">
        <v>260</v>
      </c>
      <c r="C980" t="s">
        <v>241</v>
      </c>
      <c r="D980" t="s">
        <v>242</v>
      </c>
      <c r="E980" t="s">
        <v>8</v>
      </c>
      <c r="F980" t="s">
        <v>250</v>
      </c>
      <c r="G980" t="s">
        <v>277</v>
      </c>
      <c r="H980">
        <v>8</v>
      </c>
      <c r="I980">
        <v>1011.67</v>
      </c>
      <c r="J980">
        <v>8093.36</v>
      </c>
    </row>
    <row r="981" spans="1:10">
      <c r="A981" s="26">
        <v>45141</v>
      </c>
      <c r="B981" t="s">
        <v>268</v>
      </c>
      <c r="C981" t="s">
        <v>281</v>
      </c>
      <c r="D981" t="s">
        <v>252</v>
      </c>
      <c r="E981" t="s">
        <v>5</v>
      </c>
      <c r="F981" t="s">
        <v>250</v>
      </c>
      <c r="G981" t="s">
        <v>284</v>
      </c>
      <c r="H981">
        <v>6</v>
      </c>
      <c r="I981">
        <v>3918.07</v>
      </c>
      <c r="J981">
        <v>23508.42</v>
      </c>
    </row>
    <row r="982" spans="1:10">
      <c r="A982" t="s">
        <v>488</v>
      </c>
      <c r="B982" t="s">
        <v>260</v>
      </c>
      <c r="C982" t="s">
        <v>258</v>
      </c>
      <c r="D982" t="s">
        <v>242</v>
      </c>
      <c r="E982" t="s">
        <v>8</v>
      </c>
      <c r="F982" t="s">
        <v>245</v>
      </c>
      <c r="G982" t="s">
        <v>269</v>
      </c>
      <c r="H982">
        <v>2</v>
      </c>
      <c r="I982">
        <v>3313.63</v>
      </c>
      <c r="J982">
        <v>6627.26</v>
      </c>
    </row>
    <row r="983" spans="1:10">
      <c r="A983" t="s">
        <v>452</v>
      </c>
      <c r="B983" t="s">
        <v>271</v>
      </c>
      <c r="C983" t="s">
        <v>236</v>
      </c>
      <c r="D983" t="s">
        <v>237</v>
      </c>
      <c r="E983" t="s">
        <v>8</v>
      </c>
      <c r="F983" t="s">
        <v>245</v>
      </c>
      <c r="G983" t="s">
        <v>266</v>
      </c>
      <c r="H983">
        <v>18</v>
      </c>
      <c r="I983">
        <v>809.24</v>
      </c>
      <c r="J983">
        <v>14566.32</v>
      </c>
    </row>
    <row r="984" spans="1:10">
      <c r="A984" t="s">
        <v>440</v>
      </c>
      <c r="B984" t="s">
        <v>240</v>
      </c>
      <c r="C984" t="s">
        <v>273</v>
      </c>
      <c r="D984" t="s">
        <v>252</v>
      </c>
      <c r="E984" t="s">
        <v>5</v>
      </c>
      <c r="F984" t="s">
        <v>250</v>
      </c>
      <c r="G984" t="s">
        <v>293</v>
      </c>
      <c r="H984">
        <v>2</v>
      </c>
      <c r="I984">
        <v>2338.61</v>
      </c>
      <c r="J984">
        <v>4677.22</v>
      </c>
    </row>
    <row r="985" spans="1:10">
      <c r="A985" t="s">
        <v>493</v>
      </c>
      <c r="B985" t="s">
        <v>280</v>
      </c>
      <c r="C985" t="s">
        <v>283</v>
      </c>
      <c r="D985" t="s">
        <v>242</v>
      </c>
      <c r="E985" t="s">
        <v>8</v>
      </c>
      <c r="F985" t="s">
        <v>250</v>
      </c>
      <c r="G985" t="s">
        <v>293</v>
      </c>
      <c r="H985">
        <v>18</v>
      </c>
      <c r="I985">
        <v>2773.93</v>
      </c>
      <c r="J985">
        <v>49930.74</v>
      </c>
    </row>
    <row r="986" spans="1:10">
      <c r="A986" s="26">
        <v>45172</v>
      </c>
      <c r="B986" t="s">
        <v>248</v>
      </c>
      <c r="C986" t="s">
        <v>274</v>
      </c>
      <c r="D986" t="s">
        <v>232</v>
      </c>
      <c r="E986" t="s">
        <v>6</v>
      </c>
      <c r="F986" t="s">
        <v>250</v>
      </c>
      <c r="G986" t="s">
        <v>284</v>
      </c>
      <c r="H986">
        <v>15</v>
      </c>
      <c r="I986">
        <v>2540.06</v>
      </c>
      <c r="J986">
        <v>38100.9</v>
      </c>
    </row>
    <row r="987" spans="1:10">
      <c r="A987" t="s">
        <v>318</v>
      </c>
      <c r="B987" t="s">
        <v>230</v>
      </c>
      <c r="C987" t="s">
        <v>281</v>
      </c>
      <c r="D987" t="s">
        <v>252</v>
      </c>
      <c r="E987" t="s">
        <v>5</v>
      </c>
      <c r="F987" t="s">
        <v>245</v>
      </c>
      <c r="G987" t="s">
        <v>246</v>
      </c>
      <c r="H987">
        <v>4</v>
      </c>
      <c r="I987">
        <v>1178.71</v>
      </c>
      <c r="J987">
        <v>4714.84</v>
      </c>
    </row>
    <row r="988" spans="1:10">
      <c r="A988" t="s">
        <v>462</v>
      </c>
      <c r="B988" t="s">
        <v>268</v>
      </c>
      <c r="C988" t="s">
        <v>236</v>
      </c>
      <c r="D988" t="s">
        <v>237</v>
      </c>
      <c r="E988" t="s">
        <v>8</v>
      </c>
      <c r="F988" t="s">
        <v>250</v>
      </c>
      <c r="G988" t="s">
        <v>251</v>
      </c>
      <c r="H988">
        <v>4</v>
      </c>
      <c r="I988">
        <v>4724.33</v>
      </c>
      <c r="J988">
        <v>18897.32</v>
      </c>
    </row>
    <row r="989" spans="1:10">
      <c r="A989" t="s">
        <v>479</v>
      </c>
      <c r="B989" t="s">
        <v>268</v>
      </c>
      <c r="C989" t="s">
        <v>313</v>
      </c>
      <c r="D989" t="s">
        <v>252</v>
      </c>
      <c r="E989" t="s">
        <v>5</v>
      </c>
      <c r="F989" t="s">
        <v>259</v>
      </c>
      <c r="G989" t="s">
        <v>298</v>
      </c>
      <c r="H989">
        <v>7</v>
      </c>
      <c r="I989">
        <v>3481</v>
      </c>
      <c r="J989">
        <v>24367</v>
      </c>
    </row>
    <row r="990" spans="1:10">
      <c r="A990" t="s">
        <v>427</v>
      </c>
      <c r="B990" t="s">
        <v>280</v>
      </c>
      <c r="C990" t="s">
        <v>261</v>
      </c>
      <c r="D990" t="s">
        <v>247</v>
      </c>
      <c r="E990" t="s">
        <v>6</v>
      </c>
      <c r="F990" t="s">
        <v>233</v>
      </c>
      <c r="G990" t="s">
        <v>234</v>
      </c>
      <c r="H990">
        <v>16</v>
      </c>
      <c r="I990">
        <v>4608.55</v>
      </c>
      <c r="J990">
        <v>73736.800000000003</v>
      </c>
    </row>
    <row r="991" spans="1:10">
      <c r="A991" t="s">
        <v>362</v>
      </c>
      <c r="B991" t="s">
        <v>271</v>
      </c>
      <c r="C991" t="s">
        <v>274</v>
      </c>
      <c r="D991" t="s">
        <v>232</v>
      </c>
      <c r="E991" t="s">
        <v>6</v>
      </c>
      <c r="F991" t="s">
        <v>259</v>
      </c>
      <c r="G991" t="s">
        <v>299</v>
      </c>
      <c r="H991">
        <v>10</v>
      </c>
      <c r="I991">
        <v>2336.88</v>
      </c>
      <c r="J991">
        <v>23368.799999999999</v>
      </c>
    </row>
    <row r="992" spans="1:10">
      <c r="A992" t="s">
        <v>314</v>
      </c>
      <c r="B992" t="s">
        <v>230</v>
      </c>
      <c r="C992" t="s">
        <v>255</v>
      </c>
      <c r="D992" t="s">
        <v>237</v>
      </c>
      <c r="E992" t="s">
        <v>8</v>
      </c>
      <c r="F992" t="s">
        <v>238</v>
      </c>
      <c r="G992" t="s">
        <v>303</v>
      </c>
      <c r="H992">
        <v>1</v>
      </c>
      <c r="I992">
        <v>2993.55</v>
      </c>
      <c r="J992">
        <v>2993.55</v>
      </c>
    </row>
    <row r="993" spans="1:10">
      <c r="A993" t="s">
        <v>412</v>
      </c>
      <c r="B993" t="s">
        <v>260</v>
      </c>
      <c r="C993" t="s">
        <v>244</v>
      </c>
      <c r="D993" t="s">
        <v>237</v>
      </c>
      <c r="E993" t="s">
        <v>8</v>
      </c>
      <c r="F993" t="s">
        <v>245</v>
      </c>
      <c r="G993" t="s">
        <v>269</v>
      </c>
      <c r="H993">
        <v>19</v>
      </c>
      <c r="I993">
        <v>4080.77</v>
      </c>
      <c r="J993">
        <v>77534.63</v>
      </c>
    </row>
    <row r="994" spans="1:10">
      <c r="A994" t="s">
        <v>475</v>
      </c>
      <c r="B994" t="s">
        <v>235</v>
      </c>
      <c r="C994" t="s">
        <v>283</v>
      </c>
      <c r="D994" t="s">
        <v>242</v>
      </c>
      <c r="E994" t="s">
        <v>8</v>
      </c>
      <c r="F994" t="s">
        <v>245</v>
      </c>
      <c r="G994" t="s">
        <v>295</v>
      </c>
      <c r="H994">
        <v>4</v>
      </c>
      <c r="I994">
        <v>3659.61</v>
      </c>
      <c r="J994">
        <v>14638.44</v>
      </c>
    </row>
    <row r="995" spans="1:10">
      <c r="A995" s="26">
        <v>45109</v>
      </c>
      <c r="B995" t="s">
        <v>254</v>
      </c>
      <c r="C995" t="s">
        <v>313</v>
      </c>
      <c r="D995" t="s">
        <v>252</v>
      </c>
      <c r="E995" t="s">
        <v>5</v>
      </c>
      <c r="F995" t="s">
        <v>245</v>
      </c>
      <c r="G995" t="s">
        <v>295</v>
      </c>
      <c r="H995">
        <v>12</v>
      </c>
      <c r="I995">
        <v>1819.46</v>
      </c>
      <c r="J995">
        <v>21833.52</v>
      </c>
    </row>
    <row r="996" spans="1:10">
      <c r="A996" t="s">
        <v>451</v>
      </c>
      <c r="B996" t="s">
        <v>248</v>
      </c>
      <c r="C996" t="s">
        <v>255</v>
      </c>
      <c r="D996" t="s">
        <v>237</v>
      </c>
      <c r="E996" t="s">
        <v>8</v>
      </c>
      <c r="F996" t="s">
        <v>259</v>
      </c>
      <c r="G996" t="s">
        <v>298</v>
      </c>
      <c r="H996">
        <v>13</v>
      </c>
      <c r="I996">
        <v>3520.87</v>
      </c>
      <c r="J996">
        <v>45771.31</v>
      </c>
    </row>
    <row r="997" spans="1:10">
      <c r="A997" t="s">
        <v>417</v>
      </c>
      <c r="B997" t="s">
        <v>260</v>
      </c>
      <c r="C997" t="s">
        <v>236</v>
      </c>
      <c r="D997" t="s">
        <v>237</v>
      </c>
      <c r="E997" t="s">
        <v>8</v>
      </c>
      <c r="F997" t="s">
        <v>250</v>
      </c>
      <c r="G997" t="s">
        <v>293</v>
      </c>
      <c r="H997">
        <v>14</v>
      </c>
      <c r="I997">
        <v>4532.88</v>
      </c>
      <c r="J997">
        <v>63460.32</v>
      </c>
    </row>
    <row r="998" spans="1:10">
      <c r="A998" t="s">
        <v>267</v>
      </c>
      <c r="B998" t="s">
        <v>254</v>
      </c>
      <c r="C998" t="s">
        <v>231</v>
      </c>
      <c r="D998" t="s">
        <v>232</v>
      </c>
      <c r="E998" t="s">
        <v>6</v>
      </c>
      <c r="F998" t="s">
        <v>233</v>
      </c>
      <c r="G998" t="s">
        <v>287</v>
      </c>
      <c r="H998">
        <v>6</v>
      </c>
      <c r="I998">
        <v>1709.52</v>
      </c>
      <c r="J998">
        <v>10257.120000000001</v>
      </c>
    </row>
    <row r="999" spans="1:10">
      <c r="A999" t="s">
        <v>331</v>
      </c>
      <c r="B999" t="s">
        <v>280</v>
      </c>
      <c r="C999" t="s">
        <v>241</v>
      </c>
      <c r="D999" t="s">
        <v>242</v>
      </c>
      <c r="E999" t="s">
        <v>8</v>
      </c>
      <c r="F999" t="s">
        <v>245</v>
      </c>
      <c r="G999" t="s">
        <v>246</v>
      </c>
      <c r="H999">
        <v>10</v>
      </c>
      <c r="I999">
        <v>3803.22</v>
      </c>
      <c r="J999">
        <v>38032.199999999997</v>
      </c>
    </row>
    <row r="1000" spans="1:10">
      <c r="A1000" s="26">
        <v>44958</v>
      </c>
      <c r="B1000" t="s">
        <v>271</v>
      </c>
      <c r="C1000" t="s">
        <v>241</v>
      </c>
      <c r="D1000" t="s">
        <v>242</v>
      </c>
      <c r="E1000" t="s">
        <v>8</v>
      </c>
      <c r="F1000" t="s">
        <v>238</v>
      </c>
      <c r="G1000" t="s">
        <v>303</v>
      </c>
      <c r="H1000">
        <v>15</v>
      </c>
      <c r="I1000">
        <v>1853</v>
      </c>
      <c r="J1000">
        <v>27795</v>
      </c>
    </row>
    <row r="1001" spans="1:10">
      <c r="A1001" s="26">
        <v>45018</v>
      </c>
      <c r="B1001" t="s">
        <v>280</v>
      </c>
      <c r="C1001" t="s">
        <v>249</v>
      </c>
      <c r="D1001" t="s">
        <v>232</v>
      </c>
      <c r="E1001" t="s">
        <v>6</v>
      </c>
      <c r="F1001" t="s">
        <v>245</v>
      </c>
      <c r="G1001" t="s">
        <v>266</v>
      </c>
      <c r="H1001">
        <v>2</v>
      </c>
      <c r="I1001">
        <v>2623.43</v>
      </c>
      <c r="J1001">
        <v>5246.86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1</vt:i4>
      </vt:variant>
    </vt:vector>
  </HeadingPairs>
  <TitlesOfParts>
    <vt:vector size="18" baseType="lpstr">
      <vt:lpstr>Dashboard</vt:lpstr>
      <vt:lpstr>Raw Data</vt:lpstr>
      <vt:lpstr>Sheet1</vt:lpstr>
      <vt:lpstr>Sheet2</vt:lpstr>
      <vt:lpstr>Sheet3</vt:lpstr>
      <vt:lpstr>Sheet4</vt:lpstr>
      <vt:lpstr>Sheet6</vt:lpstr>
      <vt:lpstr>Sheet7</vt:lpstr>
      <vt:lpstr>Sheet8</vt:lpstr>
      <vt:lpstr>Sheet9</vt:lpstr>
      <vt:lpstr>Electronics</vt:lpstr>
      <vt:lpstr>Furniture</vt:lpstr>
      <vt:lpstr>Groceries</vt:lpstr>
      <vt:lpstr>Stationery</vt:lpstr>
      <vt:lpstr>Sheet11</vt:lpstr>
      <vt:lpstr>Sheet16</vt:lpstr>
      <vt:lpstr>Sheet10</vt:lpstr>
      <vt:lpstr>employee_type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HARSHIT KAMRA</dc:creator>
  <cp:lastModifiedBy>HARSHIT KAMRA</cp:lastModifiedBy>
  <dcterms:created xsi:type="dcterms:W3CDTF">2026-06-08T17:13:27Z</dcterms:created>
  <dcterms:modified xsi:type="dcterms:W3CDTF">2026-06-22T18:44:33Z</dcterms:modified>
</cp:coreProperties>
</file>